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izcy.DESKTOP-II0SGB4\Desktop\"/>
    </mc:Choice>
  </mc:AlternateContent>
  <xr:revisionPtr revIDLastSave="0" documentId="13_ncr:1_{A37F922B-3AFE-4FDA-AC94-E0D7ABDAAC8E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Products" sheetId="1" r:id="rId1"/>
    <sheet name="Sales Log" sheetId="2" r:id="rId2"/>
    <sheet name="Dashboard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6" i="1" l="1"/>
  <c r="E7" i="1"/>
  <c r="E8" i="1"/>
  <c r="E9" i="1"/>
  <c r="E10" i="1"/>
  <c r="E11" i="1"/>
  <c r="E5" i="1"/>
  <c r="E48" i="3"/>
  <c r="D48" i="3"/>
  <c r="C48" i="3"/>
  <c r="B48" i="3"/>
  <c r="A48" i="3"/>
  <c r="E47" i="3"/>
  <c r="D47" i="3"/>
  <c r="C47" i="3"/>
  <c r="B47" i="3"/>
  <c r="A47" i="3"/>
  <c r="E46" i="3"/>
  <c r="D46" i="3"/>
  <c r="C46" i="3"/>
  <c r="B46" i="3"/>
  <c r="A46" i="3"/>
  <c r="E45" i="3"/>
  <c r="D45" i="3"/>
  <c r="C45" i="3"/>
  <c r="B45" i="3"/>
  <c r="A45" i="3"/>
  <c r="E44" i="3"/>
  <c r="D44" i="3"/>
  <c r="C44" i="3"/>
  <c r="B44" i="3"/>
  <c r="A44" i="3"/>
  <c r="E43" i="3"/>
  <c r="D43" i="3"/>
  <c r="C43" i="3"/>
  <c r="B43" i="3"/>
  <c r="A43" i="3"/>
  <c r="E42" i="3"/>
  <c r="D42" i="3"/>
  <c r="C42" i="3"/>
  <c r="B42" i="3"/>
  <c r="A42" i="3"/>
  <c r="E41" i="3"/>
  <c r="D41" i="3"/>
  <c r="C41" i="3"/>
  <c r="B41" i="3"/>
  <c r="A41" i="3"/>
  <c r="E40" i="3"/>
  <c r="D40" i="3"/>
  <c r="C40" i="3"/>
  <c r="B40" i="3"/>
  <c r="A40" i="3"/>
  <c r="E39" i="3"/>
  <c r="D39" i="3"/>
  <c r="C39" i="3"/>
  <c r="B39" i="3"/>
  <c r="A39" i="3"/>
  <c r="E38" i="3"/>
  <c r="D38" i="3"/>
  <c r="C38" i="3"/>
  <c r="B38" i="3"/>
  <c r="A38" i="3"/>
  <c r="E37" i="3"/>
  <c r="D37" i="3"/>
  <c r="C37" i="3"/>
  <c r="B37" i="3"/>
  <c r="A37" i="3"/>
  <c r="E36" i="3"/>
  <c r="D36" i="3"/>
  <c r="C36" i="3"/>
  <c r="B36" i="3"/>
  <c r="A36" i="3"/>
  <c r="E35" i="3"/>
  <c r="D35" i="3"/>
  <c r="C35" i="3"/>
  <c r="B35" i="3"/>
  <c r="A35" i="3"/>
  <c r="E34" i="3"/>
  <c r="D34" i="3"/>
  <c r="C34" i="3"/>
  <c r="B34" i="3"/>
  <c r="A34" i="3"/>
  <c r="E33" i="3"/>
  <c r="D33" i="3"/>
  <c r="C33" i="3"/>
  <c r="B33" i="3"/>
  <c r="A33" i="3"/>
  <c r="E32" i="3"/>
  <c r="D32" i="3"/>
  <c r="C32" i="3"/>
  <c r="B32" i="3"/>
  <c r="A32" i="3"/>
  <c r="E31" i="3"/>
  <c r="D31" i="3"/>
  <c r="C31" i="3"/>
  <c r="B31" i="3"/>
  <c r="A31" i="3"/>
  <c r="E30" i="3"/>
  <c r="D30" i="3"/>
  <c r="C30" i="3"/>
  <c r="B30" i="3"/>
  <c r="A30" i="3"/>
  <c r="E29" i="3"/>
  <c r="D29" i="3"/>
  <c r="C29" i="3"/>
  <c r="B29" i="3"/>
  <c r="A29" i="3"/>
  <c r="E28" i="3"/>
  <c r="D28" i="3"/>
  <c r="C28" i="3"/>
  <c r="B28" i="3"/>
  <c r="A28" i="3"/>
  <c r="E27" i="3"/>
  <c r="D27" i="3"/>
  <c r="C27" i="3"/>
  <c r="B27" i="3"/>
  <c r="A27" i="3"/>
  <c r="E26" i="3"/>
  <c r="D26" i="3"/>
  <c r="C26" i="3"/>
  <c r="B26" i="3"/>
  <c r="A26" i="3"/>
  <c r="E25" i="3"/>
  <c r="D25" i="3"/>
  <c r="C25" i="3"/>
  <c r="B25" i="3"/>
  <c r="A25" i="3"/>
  <c r="E24" i="3"/>
  <c r="D24" i="3"/>
  <c r="C24" i="3"/>
  <c r="B24" i="3"/>
  <c r="A24" i="3"/>
  <c r="E23" i="3"/>
  <c r="D23" i="3"/>
  <c r="C23" i="3"/>
  <c r="B23" i="3"/>
  <c r="A23" i="3"/>
  <c r="E22" i="3"/>
  <c r="D22" i="3"/>
  <c r="C22" i="3"/>
  <c r="B22" i="3"/>
  <c r="A22" i="3"/>
  <c r="E21" i="3"/>
  <c r="D21" i="3"/>
  <c r="C21" i="3"/>
  <c r="B21" i="3"/>
  <c r="A21" i="3"/>
  <c r="E20" i="3"/>
  <c r="D20" i="3"/>
  <c r="C20" i="3"/>
  <c r="B20" i="3"/>
  <c r="A20" i="3"/>
  <c r="E19" i="3"/>
  <c r="D19" i="3"/>
  <c r="C19" i="3"/>
  <c r="B19" i="3"/>
  <c r="A19" i="3"/>
  <c r="E18" i="3"/>
  <c r="D18" i="3"/>
  <c r="C18" i="3"/>
  <c r="B18" i="3"/>
  <c r="A18" i="3"/>
  <c r="E17" i="3"/>
  <c r="D17" i="3"/>
  <c r="C17" i="3"/>
  <c r="B17" i="3"/>
  <c r="A17" i="3"/>
  <c r="E16" i="3"/>
  <c r="D16" i="3"/>
  <c r="C16" i="3"/>
  <c r="B16" i="3"/>
  <c r="A16" i="3"/>
  <c r="E15" i="3"/>
  <c r="D15" i="3"/>
  <c r="C15" i="3"/>
  <c r="B15" i="3"/>
  <c r="A15" i="3"/>
  <c r="B14" i="3"/>
  <c r="A14" i="3"/>
  <c r="E13" i="3"/>
  <c r="D13" i="3"/>
  <c r="C13" i="3"/>
  <c r="B13" i="3"/>
  <c r="A13" i="3"/>
  <c r="C302" i="2"/>
  <c r="H300" i="2"/>
  <c r="G300" i="2"/>
  <c r="F300" i="2"/>
  <c r="E300" i="2"/>
  <c r="D300" i="2"/>
  <c r="H299" i="2"/>
  <c r="G299" i="2"/>
  <c r="F299" i="2"/>
  <c r="E299" i="2"/>
  <c r="D299" i="2"/>
  <c r="H298" i="2"/>
  <c r="G298" i="2"/>
  <c r="F298" i="2"/>
  <c r="E298" i="2"/>
  <c r="D298" i="2"/>
  <c r="H297" i="2"/>
  <c r="G297" i="2"/>
  <c r="F297" i="2"/>
  <c r="E297" i="2"/>
  <c r="D297" i="2"/>
  <c r="H296" i="2"/>
  <c r="G296" i="2"/>
  <c r="F296" i="2"/>
  <c r="E296" i="2"/>
  <c r="D296" i="2"/>
  <c r="H295" i="2"/>
  <c r="G295" i="2"/>
  <c r="F295" i="2"/>
  <c r="E295" i="2"/>
  <c r="D295" i="2"/>
  <c r="H294" i="2"/>
  <c r="G294" i="2"/>
  <c r="F294" i="2"/>
  <c r="E294" i="2"/>
  <c r="D294" i="2"/>
  <c r="H293" i="2"/>
  <c r="G293" i="2"/>
  <c r="F293" i="2"/>
  <c r="E293" i="2"/>
  <c r="D293" i="2"/>
  <c r="H292" i="2"/>
  <c r="G292" i="2"/>
  <c r="F292" i="2"/>
  <c r="E292" i="2"/>
  <c r="D292" i="2"/>
  <c r="H291" i="2"/>
  <c r="G291" i="2"/>
  <c r="F291" i="2"/>
  <c r="E291" i="2"/>
  <c r="D291" i="2"/>
  <c r="H290" i="2"/>
  <c r="G290" i="2"/>
  <c r="F290" i="2"/>
  <c r="E290" i="2"/>
  <c r="D290" i="2"/>
  <c r="H289" i="2"/>
  <c r="G289" i="2"/>
  <c r="F289" i="2"/>
  <c r="E289" i="2"/>
  <c r="D289" i="2"/>
  <c r="H288" i="2"/>
  <c r="G288" i="2"/>
  <c r="F288" i="2"/>
  <c r="E288" i="2"/>
  <c r="D288" i="2"/>
  <c r="H287" i="2"/>
  <c r="G287" i="2"/>
  <c r="F287" i="2"/>
  <c r="E287" i="2"/>
  <c r="D287" i="2"/>
  <c r="H286" i="2"/>
  <c r="G286" i="2"/>
  <c r="F286" i="2"/>
  <c r="E286" i="2"/>
  <c r="D286" i="2"/>
  <c r="H285" i="2"/>
  <c r="G285" i="2"/>
  <c r="F285" i="2"/>
  <c r="E285" i="2"/>
  <c r="D285" i="2"/>
  <c r="H284" i="2"/>
  <c r="G284" i="2"/>
  <c r="F284" i="2"/>
  <c r="E284" i="2"/>
  <c r="D284" i="2"/>
  <c r="H283" i="2"/>
  <c r="G283" i="2"/>
  <c r="F283" i="2"/>
  <c r="E283" i="2"/>
  <c r="D283" i="2"/>
  <c r="H282" i="2"/>
  <c r="G282" i="2"/>
  <c r="F282" i="2"/>
  <c r="E282" i="2"/>
  <c r="D282" i="2"/>
  <c r="H281" i="2"/>
  <c r="G281" i="2"/>
  <c r="F281" i="2"/>
  <c r="E281" i="2"/>
  <c r="D281" i="2"/>
  <c r="H280" i="2"/>
  <c r="G280" i="2"/>
  <c r="F280" i="2"/>
  <c r="E280" i="2"/>
  <c r="D280" i="2"/>
  <c r="H279" i="2"/>
  <c r="G279" i="2"/>
  <c r="F279" i="2"/>
  <c r="E279" i="2"/>
  <c r="D279" i="2"/>
  <c r="H278" i="2"/>
  <c r="G278" i="2"/>
  <c r="F278" i="2"/>
  <c r="E278" i="2"/>
  <c r="D278" i="2"/>
  <c r="H277" i="2"/>
  <c r="G277" i="2"/>
  <c r="F277" i="2"/>
  <c r="E277" i="2"/>
  <c r="D277" i="2"/>
  <c r="H276" i="2"/>
  <c r="G276" i="2"/>
  <c r="F276" i="2"/>
  <c r="E276" i="2"/>
  <c r="D276" i="2"/>
  <c r="H275" i="2"/>
  <c r="G275" i="2"/>
  <c r="F275" i="2"/>
  <c r="E275" i="2"/>
  <c r="D275" i="2"/>
  <c r="H274" i="2"/>
  <c r="G274" i="2"/>
  <c r="F274" i="2"/>
  <c r="E274" i="2"/>
  <c r="D274" i="2"/>
  <c r="H273" i="2"/>
  <c r="G273" i="2"/>
  <c r="F273" i="2"/>
  <c r="E273" i="2"/>
  <c r="D273" i="2"/>
  <c r="H272" i="2"/>
  <c r="G272" i="2"/>
  <c r="F272" i="2"/>
  <c r="E272" i="2"/>
  <c r="D272" i="2"/>
  <c r="H271" i="2"/>
  <c r="G271" i="2"/>
  <c r="F271" i="2"/>
  <c r="E271" i="2"/>
  <c r="D271" i="2"/>
  <c r="H270" i="2"/>
  <c r="G270" i="2"/>
  <c r="F270" i="2"/>
  <c r="E270" i="2"/>
  <c r="D270" i="2"/>
  <c r="H269" i="2"/>
  <c r="G269" i="2"/>
  <c r="F269" i="2"/>
  <c r="E269" i="2"/>
  <c r="D269" i="2"/>
  <c r="H268" i="2"/>
  <c r="G268" i="2"/>
  <c r="F268" i="2"/>
  <c r="E268" i="2"/>
  <c r="D268" i="2"/>
  <c r="H267" i="2"/>
  <c r="G267" i="2"/>
  <c r="F267" i="2"/>
  <c r="E267" i="2"/>
  <c r="D267" i="2"/>
  <c r="H266" i="2"/>
  <c r="G266" i="2"/>
  <c r="F266" i="2"/>
  <c r="E266" i="2"/>
  <c r="D266" i="2"/>
  <c r="H265" i="2"/>
  <c r="G265" i="2"/>
  <c r="F265" i="2"/>
  <c r="E265" i="2"/>
  <c r="D265" i="2"/>
  <c r="H264" i="2"/>
  <c r="G264" i="2"/>
  <c r="F264" i="2"/>
  <c r="E264" i="2"/>
  <c r="D264" i="2"/>
  <c r="H263" i="2"/>
  <c r="G263" i="2"/>
  <c r="F263" i="2"/>
  <c r="E263" i="2"/>
  <c r="D263" i="2"/>
  <c r="H262" i="2"/>
  <c r="G262" i="2"/>
  <c r="F262" i="2"/>
  <c r="E262" i="2"/>
  <c r="D262" i="2"/>
  <c r="H261" i="2"/>
  <c r="G261" i="2"/>
  <c r="F261" i="2"/>
  <c r="E261" i="2"/>
  <c r="D261" i="2"/>
  <c r="H260" i="2"/>
  <c r="G260" i="2"/>
  <c r="F260" i="2"/>
  <c r="E260" i="2"/>
  <c r="D260" i="2"/>
  <c r="H259" i="2"/>
  <c r="G259" i="2"/>
  <c r="F259" i="2"/>
  <c r="E259" i="2"/>
  <c r="D259" i="2"/>
  <c r="H258" i="2"/>
  <c r="G258" i="2"/>
  <c r="F258" i="2"/>
  <c r="E258" i="2"/>
  <c r="D258" i="2"/>
  <c r="H257" i="2"/>
  <c r="G257" i="2"/>
  <c r="F257" i="2"/>
  <c r="E257" i="2"/>
  <c r="D257" i="2"/>
  <c r="H256" i="2"/>
  <c r="G256" i="2"/>
  <c r="F256" i="2"/>
  <c r="E256" i="2"/>
  <c r="D256" i="2"/>
  <c r="H255" i="2"/>
  <c r="G255" i="2"/>
  <c r="F255" i="2"/>
  <c r="E255" i="2"/>
  <c r="D255" i="2"/>
  <c r="H254" i="2"/>
  <c r="G254" i="2"/>
  <c r="F254" i="2"/>
  <c r="E254" i="2"/>
  <c r="D254" i="2"/>
  <c r="H253" i="2"/>
  <c r="G253" i="2"/>
  <c r="F253" i="2"/>
  <c r="E253" i="2"/>
  <c r="D253" i="2"/>
  <c r="H252" i="2"/>
  <c r="G252" i="2"/>
  <c r="F252" i="2"/>
  <c r="E252" i="2"/>
  <c r="D252" i="2"/>
  <c r="H251" i="2"/>
  <c r="G251" i="2"/>
  <c r="F251" i="2"/>
  <c r="E251" i="2"/>
  <c r="D251" i="2"/>
  <c r="H250" i="2"/>
  <c r="G250" i="2"/>
  <c r="F250" i="2"/>
  <c r="E250" i="2"/>
  <c r="D250" i="2"/>
  <c r="H249" i="2"/>
  <c r="G249" i="2"/>
  <c r="F249" i="2"/>
  <c r="E249" i="2"/>
  <c r="D249" i="2"/>
  <c r="H248" i="2"/>
  <c r="G248" i="2"/>
  <c r="F248" i="2"/>
  <c r="E248" i="2"/>
  <c r="D248" i="2"/>
  <c r="H247" i="2"/>
  <c r="G247" i="2"/>
  <c r="F247" i="2"/>
  <c r="E247" i="2"/>
  <c r="D247" i="2"/>
  <c r="H246" i="2"/>
  <c r="G246" i="2"/>
  <c r="F246" i="2"/>
  <c r="E246" i="2"/>
  <c r="D246" i="2"/>
  <c r="H245" i="2"/>
  <c r="G245" i="2"/>
  <c r="F245" i="2"/>
  <c r="E245" i="2"/>
  <c r="D245" i="2"/>
  <c r="H244" i="2"/>
  <c r="G244" i="2"/>
  <c r="F244" i="2"/>
  <c r="E244" i="2"/>
  <c r="D244" i="2"/>
  <c r="H243" i="2"/>
  <c r="G243" i="2"/>
  <c r="F243" i="2"/>
  <c r="E243" i="2"/>
  <c r="D243" i="2"/>
  <c r="H242" i="2"/>
  <c r="G242" i="2"/>
  <c r="F242" i="2"/>
  <c r="E242" i="2"/>
  <c r="D242" i="2"/>
  <c r="H241" i="2"/>
  <c r="G241" i="2"/>
  <c r="F241" i="2"/>
  <c r="E241" i="2"/>
  <c r="D241" i="2"/>
  <c r="H240" i="2"/>
  <c r="G240" i="2"/>
  <c r="F240" i="2"/>
  <c r="E240" i="2"/>
  <c r="D240" i="2"/>
  <c r="H239" i="2"/>
  <c r="G239" i="2"/>
  <c r="F239" i="2"/>
  <c r="E239" i="2"/>
  <c r="D239" i="2"/>
  <c r="H238" i="2"/>
  <c r="G238" i="2"/>
  <c r="F238" i="2"/>
  <c r="E238" i="2"/>
  <c r="D238" i="2"/>
  <c r="H237" i="2"/>
  <c r="G237" i="2"/>
  <c r="F237" i="2"/>
  <c r="E237" i="2"/>
  <c r="D237" i="2"/>
  <c r="H236" i="2"/>
  <c r="G236" i="2"/>
  <c r="F236" i="2"/>
  <c r="E236" i="2"/>
  <c r="D236" i="2"/>
  <c r="H235" i="2"/>
  <c r="G235" i="2"/>
  <c r="F235" i="2"/>
  <c r="E235" i="2"/>
  <c r="D235" i="2"/>
  <c r="H234" i="2"/>
  <c r="G234" i="2"/>
  <c r="F234" i="2"/>
  <c r="E234" i="2"/>
  <c r="D234" i="2"/>
  <c r="H233" i="2"/>
  <c r="G233" i="2"/>
  <c r="F233" i="2"/>
  <c r="E233" i="2"/>
  <c r="D233" i="2"/>
  <c r="H232" i="2"/>
  <c r="G232" i="2"/>
  <c r="F232" i="2"/>
  <c r="E232" i="2"/>
  <c r="D232" i="2"/>
  <c r="H231" i="2"/>
  <c r="G231" i="2"/>
  <c r="F231" i="2"/>
  <c r="E231" i="2"/>
  <c r="D231" i="2"/>
  <c r="H230" i="2"/>
  <c r="G230" i="2"/>
  <c r="F230" i="2"/>
  <c r="E230" i="2"/>
  <c r="D230" i="2"/>
  <c r="H229" i="2"/>
  <c r="G229" i="2"/>
  <c r="F229" i="2"/>
  <c r="E229" i="2"/>
  <c r="D229" i="2"/>
  <c r="H228" i="2"/>
  <c r="G228" i="2"/>
  <c r="F228" i="2"/>
  <c r="E228" i="2"/>
  <c r="D228" i="2"/>
  <c r="H227" i="2"/>
  <c r="G227" i="2"/>
  <c r="F227" i="2"/>
  <c r="E227" i="2"/>
  <c r="D227" i="2"/>
  <c r="H226" i="2"/>
  <c r="G226" i="2"/>
  <c r="F226" i="2"/>
  <c r="E226" i="2"/>
  <c r="D226" i="2"/>
  <c r="H225" i="2"/>
  <c r="G225" i="2"/>
  <c r="F225" i="2"/>
  <c r="E225" i="2"/>
  <c r="D225" i="2"/>
  <c r="H224" i="2"/>
  <c r="G224" i="2"/>
  <c r="F224" i="2"/>
  <c r="E224" i="2"/>
  <c r="D224" i="2"/>
  <c r="H223" i="2"/>
  <c r="G223" i="2"/>
  <c r="F223" i="2"/>
  <c r="E223" i="2"/>
  <c r="D223" i="2"/>
  <c r="H222" i="2"/>
  <c r="G222" i="2"/>
  <c r="F222" i="2"/>
  <c r="E222" i="2"/>
  <c r="D222" i="2"/>
  <c r="H221" i="2"/>
  <c r="G221" i="2"/>
  <c r="F221" i="2"/>
  <c r="E221" i="2"/>
  <c r="D221" i="2"/>
  <c r="H220" i="2"/>
  <c r="G220" i="2"/>
  <c r="F220" i="2"/>
  <c r="E220" i="2"/>
  <c r="D220" i="2"/>
  <c r="H219" i="2"/>
  <c r="G219" i="2"/>
  <c r="F219" i="2"/>
  <c r="E219" i="2"/>
  <c r="D219" i="2"/>
  <c r="H218" i="2"/>
  <c r="G218" i="2"/>
  <c r="F218" i="2"/>
  <c r="E218" i="2"/>
  <c r="D218" i="2"/>
  <c r="H217" i="2"/>
  <c r="G217" i="2"/>
  <c r="F217" i="2"/>
  <c r="E217" i="2"/>
  <c r="D217" i="2"/>
  <c r="H216" i="2"/>
  <c r="G216" i="2"/>
  <c r="F216" i="2"/>
  <c r="E216" i="2"/>
  <c r="D216" i="2"/>
  <c r="H215" i="2"/>
  <c r="G215" i="2"/>
  <c r="F215" i="2"/>
  <c r="E215" i="2"/>
  <c r="D215" i="2"/>
  <c r="H214" i="2"/>
  <c r="G214" i="2"/>
  <c r="F214" i="2"/>
  <c r="E214" i="2"/>
  <c r="D214" i="2"/>
  <c r="H213" i="2"/>
  <c r="G213" i="2"/>
  <c r="F213" i="2"/>
  <c r="E213" i="2"/>
  <c r="D213" i="2"/>
  <c r="H212" i="2"/>
  <c r="G212" i="2"/>
  <c r="F212" i="2"/>
  <c r="E212" i="2"/>
  <c r="D212" i="2"/>
  <c r="H211" i="2"/>
  <c r="G211" i="2"/>
  <c r="F211" i="2"/>
  <c r="E211" i="2"/>
  <c r="D211" i="2"/>
  <c r="H210" i="2"/>
  <c r="G210" i="2"/>
  <c r="F210" i="2"/>
  <c r="E210" i="2"/>
  <c r="D210" i="2"/>
  <c r="H209" i="2"/>
  <c r="G209" i="2"/>
  <c r="F209" i="2"/>
  <c r="E209" i="2"/>
  <c r="D209" i="2"/>
  <c r="H208" i="2"/>
  <c r="G208" i="2"/>
  <c r="F208" i="2"/>
  <c r="E208" i="2"/>
  <c r="D208" i="2"/>
  <c r="H207" i="2"/>
  <c r="G207" i="2"/>
  <c r="F207" i="2"/>
  <c r="E207" i="2"/>
  <c r="D207" i="2"/>
  <c r="H206" i="2"/>
  <c r="G206" i="2"/>
  <c r="F206" i="2"/>
  <c r="E206" i="2"/>
  <c r="D206" i="2"/>
  <c r="H205" i="2"/>
  <c r="G205" i="2"/>
  <c r="F205" i="2"/>
  <c r="E205" i="2"/>
  <c r="D205" i="2"/>
  <c r="H204" i="2"/>
  <c r="G204" i="2"/>
  <c r="F204" i="2"/>
  <c r="E204" i="2"/>
  <c r="D204" i="2"/>
  <c r="H203" i="2"/>
  <c r="G203" i="2"/>
  <c r="F203" i="2"/>
  <c r="E203" i="2"/>
  <c r="D203" i="2"/>
  <c r="H202" i="2"/>
  <c r="G202" i="2"/>
  <c r="F202" i="2"/>
  <c r="E202" i="2"/>
  <c r="D202" i="2"/>
  <c r="H201" i="2"/>
  <c r="G201" i="2"/>
  <c r="F201" i="2"/>
  <c r="E201" i="2"/>
  <c r="D201" i="2"/>
  <c r="H200" i="2"/>
  <c r="G200" i="2"/>
  <c r="F200" i="2"/>
  <c r="E200" i="2"/>
  <c r="D200" i="2"/>
  <c r="H199" i="2"/>
  <c r="G199" i="2"/>
  <c r="F199" i="2"/>
  <c r="E199" i="2"/>
  <c r="D199" i="2"/>
  <c r="H198" i="2"/>
  <c r="G198" i="2"/>
  <c r="F198" i="2"/>
  <c r="E198" i="2"/>
  <c r="D198" i="2"/>
  <c r="H197" i="2"/>
  <c r="G197" i="2"/>
  <c r="F197" i="2"/>
  <c r="E197" i="2"/>
  <c r="D197" i="2"/>
  <c r="H196" i="2"/>
  <c r="G196" i="2"/>
  <c r="F196" i="2"/>
  <c r="E196" i="2"/>
  <c r="D196" i="2"/>
  <c r="H195" i="2"/>
  <c r="G195" i="2"/>
  <c r="F195" i="2"/>
  <c r="E195" i="2"/>
  <c r="D195" i="2"/>
  <c r="H194" i="2"/>
  <c r="G194" i="2"/>
  <c r="F194" i="2"/>
  <c r="E194" i="2"/>
  <c r="D194" i="2"/>
  <c r="H193" i="2"/>
  <c r="G193" i="2"/>
  <c r="F193" i="2"/>
  <c r="E193" i="2"/>
  <c r="D193" i="2"/>
  <c r="H192" i="2"/>
  <c r="G192" i="2"/>
  <c r="F192" i="2"/>
  <c r="E192" i="2"/>
  <c r="D192" i="2"/>
  <c r="H191" i="2"/>
  <c r="G191" i="2"/>
  <c r="F191" i="2"/>
  <c r="E191" i="2"/>
  <c r="D191" i="2"/>
  <c r="H190" i="2"/>
  <c r="G190" i="2"/>
  <c r="F190" i="2"/>
  <c r="E190" i="2"/>
  <c r="D190" i="2"/>
  <c r="H189" i="2"/>
  <c r="G189" i="2"/>
  <c r="F189" i="2"/>
  <c r="E189" i="2"/>
  <c r="D189" i="2"/>
  <c r="H188" i="2"/>
  <c r="G188" i="2"/>
  <c r="F188" i="2"/>
  <c r="E188" i="2"/>
  <c r="D188" i="2"/>
  <c r="H187" i="2"/>
  <c r="G187" i="2"/>
  <c r="F187" i="2"/>
  <c r="E187" i="2"/>
  <c r="D187" i="2"/>
  <c r="H186" i="2"/>
  <c r="G186" i="2"/>
  <c r="F186" i="2"/>
  <c r="E186" i="2"/>
  <c r="D186" i="2"/>
  <c r="H185" i="2"/>
  <c r="G185" i="2"/>
  <c r="F185" i="2"/>
  <c r="E185" i="2"/>
  <c r="D185" i="2"/>
  <c r="H184" i="2"/>
  <c r="G184" i="2"/>
  <c r="F184" i="2"/>
  <c r="E184" i="2"/>
  <c r="D184" i="2"/>
  <c r="H183" i="2"/>
  <c r="G183" i="2"/>
  <c r="F183" i="2"/>
  <c r="E183" i="2"/>
  <c r="D183" i="2"/>
  <c r="H182" i="2"/>
  <c r="G182" i="2"/>
  <c r="F182" i="2"/>
  <c r="E182" i="2"/>
  <c r="D182" i="2"/>
  <c r="H181" i="2"/>
  <c r="G181" i="2"/>
  <c r="F181" i="2"/>
  <c r="E181" i="2"/>
  <c r="D181" i="2"/>
  <c r="H180" i="2"/>
  <c r="G180" i="2"/>
  <c r="F180" i="2"/>
  <c r="E180" i="2"/>
  <c r="D180" i="2"/>
  <c r="H179" i="2"/>
  <c r="G179" i="2"/>
  <c r="F179" i="2"/>
  <c r="E179" i="2"/>
  <c r="D179" i="2"/>
  <c r="H178" i="2"/>
  <c r="G178" i="2"/>
  <c r="F178" i="2"/>
  <c r="E178" i="2"/>
  <c r="D178" i="2"/>
  <c r="H177" i="2"/>
  <c r="G177" i="2"/>
  <c r="F177" i="2"/>
  <c r="E177" i="2"/>
  <c r="D177" i="2"/>
  <c r="H176" i="2"/>
  <c r="G176" i="2"/>
  <c r="F176" i="2"/>
  <c r="E176" i="2"/>
  <c r="D176" i="2"/>
  <c r="H175" i="2"/>
  <c r="G175" i="2"/>
  <c r="F175" i="2"/>
  <c r="E175" i="2"/>
  <c r="D175" i="2"/>
  <c r="H174" i="2"/>
  <c r="G174" i="2"/>
  <c r="F174" i="2"/>
  <c r="E174" i="2"/>
  <c r="D174" i="2"/>
  <c r="H173" i="2"/>
  <c r="G173" i="2"/>
  <c r="F173" i="2"/>
  <c r="E173" i="2"/>
  <c r="D173" i="2"/>
  <c r="H172" i="2"/>
  <c r="G172" i="2"/>
  <c r="F172" i="2"/>
  <c r="E172" i="2"/>
  <c r="D172" i="2"/>
  <c r="H171" i="2"/>
  <c r="G171" i="2"/>
  <c r="F171" i="2"/>
  <c r="E171" i="2"/>
  <c r="D171" i="2"/>
  <c r="H170" i="2"/>
  <c r="G170" i="2"/>
  <c r="F170" i="2"/>
  <c r="E170" i="2"/>
  <c r="D170" i="2"/>
  <c r="H169" i="2"/>
  <c r="G169" i="2"/>
  <c r="F169" i="2"/>
  <c r="E169" i="2"/>
  <c r="D169" i="2"/>
  <c r="H168" i="2"/>
  <c r="G168" i="2"/>
  <c r="F168" i="2"/>
  <c r="E168" i="2"/>
  <c r="D168" i="2"/>
  <c r="H167" i="2"/>
  <c r="G167" i="2"/>
  <c r="F167" i="2"/>
  <c r="E167" i="2"/>
  <c r="D167" i="2"/>
  <c r="H166" i="2"/>
  <c r="G166" i="2"/>
  <c r="F166" i="2"/>
  <c r="E166" i="2"/>
  <c r="D166" i="2"/>
  <c r="H165" i="2"/>
  <c r="G165" i="2"/>
  <c r="F165" i="2"/>
  <c r="E165" i="2"/>
  <c r="D165" i="2"/>
  <c r="H164" i="2"/>
  <c r="G164" i="2"/>
  <c r="F164" i="2"/>
  <c r="E164" i="2"/>
  <c r="D164" i="2"/>
  <c r="H163" i="2"/>
  <c r="G163" i="2"/>
  <c r="F163" i="2"/>
  <c r="E163" i="2"/>
  <c r="D163" i="2"/>
  <c r="H162" i="2"/>
  <c r="G162" i="2"/>
  <c r="F162" i="2"/>
  <c r="E162" i="2"/>
  <c r="D162" i="2"/>
  <c r="H161" i="2"/>
  <c r="G161" i="2"/>
  <c r="F161" i="2"/>
  <c r="E161" i="2"/>
  <c r="D161" i="2"/>
  <c r="H160" i="2"/>
  <c r="G160" i="2"/>
  <c r="F160" i="2"/>
  <c r="E160" i="2"/>
  <c r="D160" i="2"/>
  <c r="H159" i="2"/>
  <c r="G159" i="2"/>
  <c r="F159" i="2"/>
  <c r="E159" i="2"/>
  <c r="D159" i="2"/>
  <c r="H158" i="2"/>
  <c r="G158" i="2"/>
  <c r="F158" i="2"/>
  <c r="E158" i="2"/>
  <c r="D158" i="2"/>
  <c r="H157" i="2"/>
  <c r="G157" i="2"/>
  <c r="F157" i="2"/>
  <c r="E157" i="2"/>
  <c r="D157" i="2"/>
  <c r="H156" i="2"/>
  <c r="G156" i="2"/>
  <c r="F156" i="2"/>
  <c r="E156" i="2"/>
  <c r="D156" i="2"/>
  <c r="H155" i="2"/>
  <c r="G155" i="2"/>
  <c r="F155" i="2"/>
  <c r="E155" i="2"/>
  <c r="D155" i="2"/>
  <c r="H154" i="2"/>
  <c r="G154" i="2"/>
  <c r="F154" i="2"/>
  <c r="E154" i="2"/>
  <c r="D154" i="2"/>
  <c r="H153" i="2"/>
  <c r="G153" i="2"/>
  <c r="F153" i="2"/>
  <c r="E153" i="2"/>
  <c r="D153" i="2"/>
  <c r="H152" i="2"/>
  <c r="G152" i="2"/>
  <c r="F152" i="2"/>
  <c r="E152" i="2"/>
  <c r="D152" i="2"/>
  <c r="H151" i="2"/>
  <c r="G151" i="2"/>
  <c r="F151" i="2"/>
  <c r="E151" i="2"/>
  <c r="D151" i="2"/>
  <c r="H150" i="2"/>
  <c r="G150" i="2"/>
  <c r="F150" i="2"/>
  <c r="E150" i="2"/>
  <c r="D150" i="2"/>
  <c r="H149" i="2"/>
  <c r="G149" i="2"/>
  <c r="F149" i="2"/>
  <c r="E149" i="2"/>
  <c r="D149" i="2"/>
  <c r="H148" i="2"/>
  <c r="G148" i="2"/>
  <c r="F148" i="2"/>
  <c r="E148" i="2"/>
  <c r="D148" i="2"/>
  <c r="H147" i="2"/>
  <c r="G147" i="2"/>
  <c r="F147" i="2"/>
  <c r="E147" i="2"/>
  <c r="D147" i="2"/>
  <c r="H146" i="2"/>
  <c r="G146" i="2"/>
  <c r="F146" i="2"/>
  <c r="E146" i="2"/>
  <c r="D146" i="2"/>
  <c r="H145" i="2"/>
  <c r="G145" i="2"/>
  <c r="F145" i="2"/>
  <c r="E145" i="2"/>
  <c r="D145" i="2"/>
  <c r="H144" i="2"/>
  <c r="G144" i="2"/>
  <c r="F144" i="2"/>
  <c r="E144" i="2"/>
  <c r="D144" i="2"/>
  <c r="H143" i="2"/>
  <c r="G143" i="2"/>
  <c r="F143" i="2"/>
  <c r="E143" i="2"/>
  <c r="D143" i="2"/>
  <c r="H142" i="2"/>
  <c r="G142" i="2"/>
  <c r="F142" i="2"/>
  <c r="E142" i="2"/>
  <c r="D142" i="2"/>
  <c r="H141" i="2"/>
  <c r="G141" i="2"/>
  <c r="F141" i="2"/>
  <c r="E141" i="2"/>
  <c r="D141" i="2"/>
  <c r="H140" i="2"/>
  <c r="G140" i="2"/>
  <c r="F140" i="2"/>
  <c r="E140" i="2"/>
  <c r="D140" i="2"/>
  <c r="H139" i="2"/>
  <c r="G139" i="2"/>
  <c r="F139" i="2"/>
  <c r="E139" i="2"/>
  <c r="D139" i="2"/>
  <c r="H138" i="2"/>
  <c r="G138" i="2"/>
  <c r="F138" i="2"/>
  <c r="E138" i="2"/>
  <c r="D138" i="2"/>
  <c r="H137" i="2"/>
  <c r="G137" i="2"/>
  <c r="F137" i="2"/>
  <c r="E137" i="2"/>
  <c r="D137" i="2"/>
  <c r="H136" i="2"/>
  <c r="G136" i="2"/>
  <c r="F136" i="2"/>
  <c r="E136" i="2"/>
  <c r="D136" i="2"/>
  <c r="H135" i="2"/>
  <c r="G135" i="2"/>
  <c r="F135" i="2"/>
  <c r="E135" i="2"/>
  <c r="D135" i="2"/>
  <c r="H134" i="2"/>
  <c r="G134" i="2"/>
  <c r="F134" i="2"/>
  <c r="E134" i="2"/>
  <c r="D134" i="2"/>
  <c r="H133" i="2"/>
  <c r="G133" i="2"/>
  <c r="F133" i="2"/>
  <c r="E133" i="2"/>
  <c r="D133" i="2"/>
  <c r="H132" i="2"/>
  <c r="G132" i="2"/>
  <c r="F132" i="2"/>
  <c r="E132" i="2"/>
  <c r="D132" i="2"/>
  <c r="H131" i="2"/>
  <c r="G131" i="2"/>
  <c r="F131" i="2"/>
  <c r="E131" i="2"/>
  <c r="D131" i="2"/>
  <c r="H130" i="2"/>
  <c r="G130" i="2"/>
  <c r="F130" i="2"/>
  <c r="E130" i="2"/>
  <c r="D130" i="2"/>
  <c r="H129" i="2"/>
  <c r="G129" i="2"/>
  <c r="F129" i="2"/>
  <c r="E129" i="2"/>
  <c r="D129" i="2"/>
  <c r="H128" i="2"/>
  <c r="G128" i="2"/>
  <c r="F128" i="2"/>
  <c r="E128" i="2"/>
  <c r="D128" i="2"/>
  <c r="H127" i="2"/>
  <c r="G127" i="2"/>
  <c r="F127" i="2"/>
  <c r="E127" i="2"/>
  <c r="D127" i="2"/>
  <c r="H126" i="2"/>
  <c r="G126" i="2"/>
  <c r="F126" i="2"/>
  <c r="E126" i="2"/>
  <c r="D126" i="2"/>
  <c r="H125" i="2"/>
  <c r="G125" i="2"/>
  <c r="F125" i="2"/>
  <c r="E125" i="2"/>
  <c r="D125" i="2"/>
  <c r="H124" i="2"/>
  <c r="G124" i="2"/>
  <c r="F124" i="2"/>
  <c r="E124" i="2"/>
  <c r="D124" i="2"/>
  <c r="H123" i="2"/>
  <c r="G123" i="2"/>
  <c r="F123" i="2"/>
  <c r="E123" i="2"/>
  <c r="D123" i="2"/>
  <c r="H122" i="2"/>
  <c r="G122" i="2"/>
  <c r="F122" i="2"/>
  <c r="E122" i="2"/>
  <c r="D122" i="2"/>
  <c r="H121" i="2"/>
  <c r="G121" i="2"/>
  <c r="F121" i="2"/>
  <c r="E121" i="2"/>
  <c r="D121" i="2"/>
  <c r="H120" i="2"/>
  <c r="G120" i="2"/>
  <c r="F120" i="2"/>
  <c r="E120" i="2"/>
  <c r="D120" i="2"/>
  <c r="H119" i="2"/>
  <c r="G119" i="2"/>
  <c r="F119" i="2"/>
  <c r="E119" i="2"/>
  <c r="D119" i="2"/>
  <c r="H118" i="2"/>
  <c r="G118" i="2"/>
  <c r="F118" i="2"/>
  <c r="E118" i="2"/>
  <c r="D118" i="2"/>
  <c r="H117" i="2"/>
  <c r="G117" i="2"/>
  <c r="F117" i="2"/>
  <c r="E117" i="2"/>
  <c r="D117" i="2"/>
  <c r="H116" i="2"/>
  <c r="G116" i="2"/>
  <c r="F116" i="2"/>
  <c r="E116" i="2"/>
  <c r="D116" i="2"/>
  <c r="H115" i="2"/>
  <c r="G115" i="2"/>
  <c r="F115" i="2"/>
  <c r="E115" i="2"/>
  <c r="D115" i="2"/>
  <c r="H114" i="2"/>
  <c r="G114" i="2"/>
  <c r="F114" i="2"/>
  <c r="E114" i="2"/>
  <c r="D114" i="2"/>
  <c r="H113" i="2"/>
  <c r="G113" i="2"/>
  <c r="F113" i="2"/>
  <c r="E113" i="2"/>
  <c r="D113" i="2"/>
  <c r="H112" i="2"/>
  <c r="G112" i="2"/>
  <c r="F112" i="2"/>
  <c r="E112" i="2"/>
  <c r="D112" i="2"/>
  <c r="H111" i="2"/>
  <c r="G111" i="2"/>
  <c r="F111" i="2"/>
  <c r="E111" i="2"/>
  <c r="D111" i="2"/>
  <c r="H110" i="2"/>
  <c r="G110" i="2"/>
  <c r="F110" i="2"/>
  <c r="E110" i="2"/>
  <c r="D110" i="2"/>
  <c r="H109" i="2"/>
  <c r="G109" i="2"/>
  <c r="F109" i="2"/>
  <c r="E109" i="2"/>
  <c r="D109" i="2"/>
  <c r="H108" i="2"/>
  <c r="G108" i="2"/>
  <c r="F108" i="2"/>
  <c r="E108" i="2"/>
  <c r="D108" i="2"/>
  <c r="H107" i="2"/>
  <c r="G107" i="2"/>
  <c r="F107" i="2"/>
  <c r="E107" i="2"/>
  <c r="D107" i="2"/>
  <c r="H106" i="2"/>
  <c r="G106" i="2"/>
  <c r="F106" i="2"/>
  <c r="E106" i="2"/>
  <c r="D106" i="2"/>
  <c r="H105" i="2"/>
  <c r="G105" i="2"/>
  <c r="F105" i="2"/>
  <c r="E105" i="2"/>
  <c r="D105" i="2"/>
  <c r="H104" i="2"/>
  <c r="G104" i="2"/>
  <c r="F104" i="2"/>
  <c r="E104" i="2"/>
  <c r="D104" i="2"/>
  <c r="H103" i="2"/>
  <c r="G103" i="2"/>
  <c r="F103" i="2"/>
  <c r="E103" i="2"/>
  <c r="D103" i="2"/>
  <c r="H102" i="2"/>
  <c r="G102" i="2"/>
  <c r="F102" i="2"/>
  <c r="E102" i="2"/>
  <c r="D102" i="2"/>
  <c r="H101" i="2"/>
  <c r="G101" i="2"/>
  <c r="F101" i="2"/>
  <c r="E101" i="2"/>
  <c r="D101" i="2"/>
  <c r="H100" i="2"/>
  <c r="G100" i="2"/>
  <c r="F100" i="2"/>
  <c r="E100" i="2"/>
  <c r="D100" i="2"/>
  <c r="H99" i="2"/>
  <c r="G99" i="2"/>
  <c r="F99" i="2"/>
  <c r="E99" i="2"/>
  <c r="D99" i="2"/>
  <c r="H98" i="2"/>
  <c r="G98" i="2"/>
  <c r="F98" i="2"/>
  <c r="E98" i="2"/>
  <c r="D98" i="2"/>
  <c r="H97" i="2"/>
  <c r="G97" i="2"/>
  <c r="F97" i="2"/>
  <c r="E97" i="2"/>
  <c r="D97" i="2"/>
  <c r="H96" i="2"/>
  <c r="G96" i="2"/>
  <c r="F96" i="2"/>
  <c r="E96" i="2"/>
  <c r="D96" i="2"/>
  <c r="H95" i="2"/>
  <c r="G95" i="2"/>
  <c r="F95" i="2"/>
  <c r="E95" i="2"/>
  <c r="D95" i="2"/>
  <c r="H94" i="2"/>
  <c r="G94" i="2"/>
  <c r="F94" i="2"/>
  <c r="E94" i="2"/>
  <c r="D94" i="2"/>
  <c r="H93" i="2"/>
  <c r="G93" i="2"/>
  <c r="F93" i="2"/>
  <c r="E93" i="2"/>
  <c r="D93" i="2"/>
  <c r="H92" i="2"/>
  <c r="G92" i="2"/>
  <c r="F92" i="2"/>
  <c r="E92" i="2"/>
  <c r="D92" i="2"/>
  <c r="H91" i="2"/>
  <c r="G91" i="2"/>
  <c r="F91" i="2"/>
  <c r="E91" i="2"/>
  <c r="D91" i="2"/>
  <c r="H90" i="2"/>
  <c r="G90" i="2"/>
  <c r="F90" i="2"/>
  <c r="E90" i="2"/>
  <c r="D90" i="2"/>
  <c r="H89" i="2"/>
  <c r="G89" i="2"/>
  <c r="F89" i="2"/>
  <c r="E89" i="2"/>
  <c r="D89" i="2"/>
  <c r="H88" i="2"/>
  <c r="G88" i="2"/>
  <c r="F88" i="2"/>
  <c r="E88" i="2"/>
  <c r="D88" i="2"/>
  <c r="H87" i="2"/>
  <c r="G87" i="2"/>
  <c r="F87" i="2"/>
  <c r="E87" i="2"/>
  <c r="D87" i="2"/>
  <c r="H86" i="2"/>
  <c r="G86" i="2"/>
  <c r="F86" i="2"/>
  <c r="E86" i="2"/>
  <c r="D86" i="2"/>
  <c r="H85" i="2"/>
  <c r="G85" i="2"/>
  <c r="F85" i="2"/>
  <c r="E85" i="2"/>
  <c r="D85" i="2"/>
  <c r="H84" i="2"/>
  <c r="G84" i="2"/>
  <c r="F84" i="2"/>
  <c r="E84" i="2"/>
  <c r="D84" i="2"/>
  <c r="H83" i="2"/>
  <c r="G83" i="2"/>
  <c r="F83" i="2"/>
  <c r="E83" i="2"/>
  <c r="D83" i="2"/>
  <c r="H82" i="2"/>
  <c r="G82" i="2"/>
  <c r="F82" i="2"/>
  <c r="E82" i="2"/>
  <c r="D82" i="2"/>
  <c r="H81" i="2"/>
  <c r="G81" i="2"/>
  <c r="F81" i="2"/>
  <c r="E81" i="2"/>
  <c r="D81" i="2"/>
  <c r="H80" i="2"/>
  <c r="G80" i="2"/>
  <c r="F80" i="2"/>
  <c r="E80" i="2"/>
  <c r="D80" i="2"/>
  <c r="H79" i="2"/>
  <c r="G79" i="2"/>
  <c r="F79" i="2"/>
  <c r="E79" i="2"/>
  <c r="D79" i="2"/>
  <c r="H78" i="2"/>
  <c r="G78" i="2"/>
  <c r="F78" i="2"/>
  <c r="E78" i="2"/>
  <c r="D78" i="2"/>
  <c r="H77" i="2"/>
  <c r="G77" i="2"/>
  <c r="F77" i="2"/>
  <c r="E77" i="2"/>
  <c r="D77" i="2"/>
  <c r="H76" i="2"/>
  <c r="G76" i="2"/>
  <c r="F76" i="2"/>
  <c r="E76" i="2"/>
  <c r="D76" i="2"/>
  <c r="H75" i="2"/>
  <c r="G75" i="2"/>
  <c r="F75" i="2"/>
  <c r="E75" i="2"/>
  <c r="D75" i="2"/>
  <c r="H74" i="2"/>
  <c r="G74" i="2"/>
  <c r="F74" i="2"/>
  <c r="E74" i="2"/>
  <c r="D74" i="2"/>
  <c r="H73" i="2"/>
  <c r="G73" i="2"/>
  <c r="F73" i="2"/>
  <c r="E73" i="2"/>
  <c r="D73" i="2"/>
  <c r="H72" i="2"/>
  <c r="G72" i="2"/>
  <c r="F72" i="2"/>
  <c r="E72" i="2"/>
  <c r="D72" i="2"/>
  <c r="H71" i="2"/>
  <c r="G71" i="2"/>
  <c r="F71" i="2"/>
  <c r="E71" i="2"/>
  <c r="D71" i="2"/>
  <c r="H70" i="2"/>
  <c r="G70" i="2"/>
  <c r="F70" i="2"/>
  <c r="E70" i="2"/>
  <c r="D70" i="2"/>
  <c r="H69" i="2"/>
  <c r="G69" i="2"/>
  <c r="F69" i="2"/>
  <c r="E69" i="2"/>
  <c r="D69" i="2"/>
  <c r="H68" i="2"/>
  <c r="G68" i="2"/>
  <c r="F68" i="2"/>
  <c r="E68" i="2"/>
  <c r="D68" i="2"/>
  <c r="H67" i="2"/>
  <c r="G67" i="2"/>
  <c r="F67" i="2"/>
  <c r="E67" i="2"/>
  <c r="D67" i="2"/>
  <c r="H66" i="2"/>
  <c r="G66" i="2"/>
  <c r="F66" i="2"/>
  <c r="E66" i="2"/>
  <c r="D66" i="2"/>
  <c r="H65" i="2"/>
  <c r="G65" i="2"/>
  <c r="F65" i="2"/>
  <c r="E65" i="2"/>
  <c r="D65" i="2"/>
  <c r="H64" i="2"/>
  <c r="G64" i="2"/>
  <c r="F64" i="2"/>
  <c r="E64" i="2"/>
  <c r="D64" i="2"/>
  <c r="H63" i="2"/>
  <c r="G63" i="2"/>
  <c r="F63" i="2"/>
  <c r="E63" i="2"/>
  <c r="D63" i="2"/>
  <c r="H62" i="2"/>
  <c r="G62" i="2"/>
  <c r="F62" i="2"/>
  <c r="E62" i="2"/>
  <c r="D62" i="2"/>
  <c r="H61" i="2"/>
  <c r="G61" i="2"/>
  <c r="F61" i="2"/>
  <c r="E61" i="2"/>
  <c r="D61" i="2"/>
  <c r="H60" i="2"/>
  <c r="G60" i="2"/>
  <c r="F60" i="2"/>
  <c r="E60" i="2"/>
  <c r="D60" i="2"/>
  <c r="H59" i="2"/>
  <c r="G59" i="2"/>
  <c r="F59" i="2"/>
  <c r="E59" i="2"/>
  <c r="D59" i="2"/>
  <c r="H58" i="2"/>
  <c r="G58" i="2"/>
  <c r="F58" i="2"/>
  <c r="E58" i="2"/>
  <c r="D58" i="2"/>
  <c r="H57" i="2"/>
  <c r="G57" i="2"/>
  <c r="F57" i="2"/>
  <c r="E57" i="2"/>
  <c r="D57" i="2"/>
  <c r="H56" i="2"/>
  <c r="G56" i="2"/>
  <c r="F56" i="2"/>
  <c r="E56" i="2"/>
  <c r="D56" i="2"/>
  <c r="H55" i="2"/>
  <c r="G55" i="2"/>
  <c r="F55" i="2"/>
  <c r="E55" i="2"/>
  <c r="D55" i="2"/>
  <c r="H54" i="2"/>
  <c r="G54" i="2"/>
  <c r="F54" i="2"/>
  <c r="E54" i="2"/>
  <c r="D54" i="2"/>
  <c r="H53" i="2"/>
  <c r="G53" i="2"/>
  <c r="F53" i="2"/>
  <c r="E53" i="2"/>
  <c r="D53" i="2"/>
  <c r="H52" i="2"/>
  <c r="G52" i="2"/>
  <c r="F52" i="2"/>
  <c r="E52" i="2"/>
  <c r="D52" i="2"/>
  <c r="H51" i="2"/>
  <c r="G51" i="2"/>
  <c r="F51" i="2"/>
  <c r="E51" i="2"/>
  <c r="D51" i="2"/>
  <c r="H50" i="2"/>
  <c r="G50" i="2"/>
  <c r="F50" i="2"/>
  <c r="E50" i="2"/>
  <c r="D50" i="2"/>
  <c r="H49" i="2"/>
  <c r="G49" i="2"/>
  <c r="F49" i="2"/>
  <c r="E49" i="2"/>
  <c r="D49" i="2"/>
  <c r="H48" i="2"/>
  <c r="G48" i="2"/>
  <c r="F48" i="2"/>
  <c r="E48" i="2"/>
  <c r="D48" i="2"/>
  <c r="H47" i="2"/>
  <c r="G47" i="2"/>
  <c r="F47" i="2"/>
  <c r="E47" i="2"/>
  <c r="D47" i="2"/>
  <c r="H46" i="2"/>
  <c r="G46" i="2"/>
  <c r="F46" i="2"/>
  <c r="E46" i="2"/>
  <c r="D46" i="2"/>
  <c r="H45" i="2"/>
  <c r="G45" i="2"/>
  <c r="F45" i="2"/>
  <c r="E45" i="2"/>
  <c r="D45" i="2"/>
  <c r="H44" i="2"/>
  <c r="G44" i="2"/>
  <c r="F44" i="2"/>
  <c r="E44" i="2"/>
  <c r="D44" i="2"/>
  <c r="H43" i="2"/>
  <c r="G43" i="2"/>
  <c r="F43" i="2"/>
  <c r="E43" i="2"/>
  <c r="D43" i="2"/>
  <c r="H42" i="2"/>
  <c r="G42" i="2"/>
  <c r="F42" i="2"/>
  <c r="E42" i="2"/>
  <c r="D42" i="2"/>
  <c r="H41" i="2"/>
  <c r="G41" i="2"/>
  <c r="F41" i="2"/>
  <c r="E41" i="2"/>
  <c r="D41" i="2"/>
  <c r="H40" i="2"/>
  <c r="G40" i="2"/>
  <c r="F40" i="2"/>
  <c r="E40" i="2"/>
  <c r="D40" i="2"/>
  <c r="H39" i="2"/>
  <c r="G39" i="2"/>
  <c r="F39" i="2"/>
  <c r="E39" i="2"/>
  <c r="D39" i="2"/>
  <c r="H38" i="2"/>
  <c r="G38" i="2"/>
  <c r="F38" i="2"/>
  <c r="E38" i="2"/>
  <c r="D38" i="2"/>
  <c r="H37" i="2"/>
  <c r="G37" i="2"/>
  <c r="F37" i="2"/>
  <c r="E37" i="2"/>
  <c r="D37" i="2"/>
  <c r="H36" i="2"/>
  <c r="G36" i="2"/>
  <c r="F36" i="2"/>
  <c r="E36" i="2"/>
  <c r="D36" i="2"/>
  <c r="H35" i="2"/>
  <c r="G35" i="2"/>
  <c r="F35" i="2"/>
  <c r="E35" i="2"/>
  <c r="D35" i="2"/>
  <c r="H34" i="2"/>
  <c r="G34" i="2"/>
  <c r="F34" i="2"/>
  <c r="E34" i="2"/>
  <c r="D34" i="2"/>
  <c r="H33" i="2"/>
  <c r="G33" i="2"/>
  <c r="F33" i="2"/>
  <c r="E33" i="2"/>
  <c r="D33" i="2"/>
  <c r="H32" i="2"/>
  <c r="G32" i="2"/>
  <c r="F32" i="2"/>
  <c r="E32" i="2"/>
  <c r="D32" i="2"/>
  <c r="H31" i="2"/>
  <c r="G31" i="2"/>
  <c r="F31" i="2"/>
  <c r="E31" i="2"/>
  <c r="D31" i="2"/>
  <c r="H30" i="2"/>
  <c r="G30" i="2"/>
  <c r="F30" i="2"/>
  <c r="E30" i="2"/>
  <c r="D30" i="2"/>
  <c r="H29" i="2"/>
  <c r="G29" i="2"/>
  <c r="F29" i="2"/>
  <c r="E29" i="2"/>
  <c r="D29" i="2"/>
  <c r="H28" i="2"/>
  <c r="G28" i="2"/>
  <c r="F28" i="2"/>
  <c r="E28" i="2"/>
  <c r="D28" i="2"/>
  <c r="H27" i="2"/>
  <c r="G27" i="2"/>
  <c r="F27" i="2"/>
  <c r="E27" i="2"/>
  <c r="D27" i="2"/>
  <c r="H26" i="2"/>
  <c r="G26" i="2"/>
  <c r="F26" i="2"/>
  <c r="E26" i="2"/>
  <c r="D26" i="2"/>
  <c r="H25" i="2"/>
  <c r="G25" i="2"/>
  <c r="F25" i="2"/>
  <c r="E25" i="2"/>
  <c r="D25" i="2"/>
  <c r="H24" i="2"/>
  <c r="G24" i="2"/>
  <c r="F24" i="2"/>
  <c r="E24" i="2"/>
  <c r="D24" i="2"/>
  <c r="H23" i="2"/>
  <c r="G23" i="2"/>
  <c r="F23" i="2"/>
  <c r="E23" i="2"/>
  <c r="D23" i="2"/>
  <c r="H22" i="2"/>
  <c r="G22" i="2"/>
  <c r="F22" i="2"/>
  <c r="E22" i="2"/>
  <c r="D22" i="2"/>
  <c r="H21" i="2"/>
  <c r="G21" i="2"/>
  <c r="F21" i="2"/>
  <c r="E21" i="2"/>
  <c r="D21" i="2"/>
  <c r="H20" i="2"/>
  <c r="G20" i="2"/>
  <c r="F20" i="2"/>
  <c r="E20" i="2"/>
  <c r="D20" i="2"/>
  <c r="H19" i="2"/>
  <c r="G19" i="2"/>
  <c r="F19" i="2"/>
  <c r="E19" i="2"/>
  <c r="D19" i="2"/>
  <c r="H18" i="2"/>
  <c r="G18" i="2"/>
  <c r="F18" i="2"/>
  <c r="E18" i="2"/>
  <c r="D18" i="2"/>
  <c r="H17" i="2"/>
  <c r="G17" i="2"/>
  <c r="F17" i="2"/>
  <c r="E17" i="2"/>
  <c r="D17" i="2"/>
  <c r="H16" i="2"/>
  <c r="G16" i="2"/>
  <c r="F16" i="2"/>
  <c r="E16" i="2"/>
  <c r="D16" i="2"/>
  <c r="H15" i="2"/>
  <c r="G15" i="2"/>
  <c r="F15" i="2"/>
  <c r="E15" i="2"/>
  <c r="D15" i="2"/>
  <c r="H14" i="2"/>
  <c r="G14" i="2"/>
  <c r="F14" i="2"/>
  <c r="E14" i="2"/>
  <c r="D14" i="2"/>
  <c r="H13" i="2"/>
  <c r="G13" i="2"/>
  <c r="F13" i="2"/>
  <c r="E13" i="2"/>
  <c r="D13" i="2"/>
  <c r="H12" i="2"/>
  <c r="G12" i="2"/>
  <c r="F12" i="2"/>
  <c r="E12" i="2"/>
  <c r="D12" i="2"/>
  <c r="H11" i="2"/>
  <c r="G11" i="2"/>
  <c r="F11" i="2"/>
  <c r="E11" i="2"/>
  <c r="D11" i="2"/>
  <c r="H10" i="2"/>
  <c r="G10" i="2"/>
  <c r="F10" i="2"/>
  <c r="E10" i="2"/>
  <c r="D10" i="2"/>
  <c r="H9" i="2"/>
  <c r="G9" i="2"/>
  <c r="F9" i="2"/>
  <c r="E9" i="2"/>
  <c r="D9" i="2"/>
  <c r="H8" i="2"/>
  <c r="G8" i="2"/>
  <c r="F8" i="2"/>
  <c r="E8" i="2"/>
  <c r="D8" i="2"/>
  <c r="H7" i="2"/>
  <c r="G7" i="2"/>
  <c r="F7" i="2"/>
  <c r="E7" i="2"/>
  <c r="D7" i="2"/>
  <c r="H6" i="2"/>
  <c r="G6" i="2"/>
  <c r="F6" i="2"/>
  <c r="E6" i="2"/>
  <c r="D6" i="2"/>
  <c r="E5" i="2"/>
  <c r="G5" i="2" s="1"/>
  <c r="D14" i="3" s="1"/>
  <c r="D5" i="2"/>
  <c r="F5" i="2" s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C14" i="3" l="1"/>
  <c r="H5" i="2"/>
  <c r="E14" i="3" s="1"/>
  <c r="G302" i="2"/>
  <c r="B6" i="3" s="1"/>
  <c r="F302" i="2"/>
  <c r="B5" i="3" s="1"/>
  <c r="H302" i="2" l="1"/>
  <c r="B7" i="3" s="1"/>
  <c r="B8" i="3" s="1"/>
</calcChain>
</file>

<file path=xl/sharedStrings.xml><?xml version="1.0" encoding="utf-8"?>
<sst xmlns="http://schemas.openxmlformats.org/spreadsheetml/2006/main" count="45" uniqueCount="35">
  <si>
    <t>Product List &amp; Pricing</t>
  </si>
  <si>
    <t>Fill in every product you sell. Yellow cells = your input. Delete the example rows once you've added your own products.</t>
  </si>
  <si>
    <t>Product Name</t>
  </si>
  <si>
    <t>Category</t>
  </si>
  <si>
    <t>Cost Price (per unit)</t>
  </si>
  <si>
    <t>Selling Price (per unit)</t>
  </si>
  <si>
    <t>Profit per Unit</t>
  </si>
  <si>
    <t>Current Stock (units)</t>
  </si>
  <si>
    <t>Sales Log</t>
  </si>
  <si>
    <t>Enter the Date, Product and Quantity Sold for each sale (yellow cells). Price, cost and profit fill in automatically from the Products sheet.</t>
  </si>
  <si>
    <t>Date</t>
  </si>
  <si>
    <t>Product</t>
  </si>
  <si>
    <t>Quantity Sold</t>
  </si>
  <si>
    <t>Unit Selling Price</t>
  </si>
  <si>
    <t>Unit Cost</t>
  </si>
  <si>
    <t>Total Revenue</t>
  </si>
  <si>
    <t>Total Cost</t>
  </si>
  <si>
    <t>Profit</t>
  </si>
  <si>
    <t>TOTAL</t>
  </si>
  <si>
    <t>Business Dashboard</t>
  </si>
  <si>
    <t>Auto-calculated from the Sales Log. Nothing to fill in here.</t>
  </si>
  <si>
    <t>Overall Totals</t>
  </si>
  <si>
    <t>Total Profit</t>
  </si>
  <si>
    <t>Profit Margin (%)</t>
  </si>
  <si>
    <t>Sales by Product</t>
  </si>
  <si>
    <t>Units Sold</t>
  </si>
  <si>
    <t>Revenue</t>
  </si>
  <si>
    <t>Cost</t>
  </si>
  <si>
    <t>9PM</t>
  </si>
  <si>
    <t>KAYALI VANILLA</t>
  </si>
  <si>
    <t>CHOCOLATE</t>
  </si>
  <si>
    <t>STRAWBERRY</t>
  </si>
  <si>
    <t>YUMMY VANILLA</t>
  </si>
  <si>
    <t>CLUB DE NUIT</t>
  </si>
  <si>
    <t>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</si>
</sst>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8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9"/>
      <color rgb="FF808080"/>
      <name val="Arial"/>
      <charset val="1"/>
    </font>
    <font>
      <b/>
      <sz val="11"/>
      <color rgb="FFFFFFFF"/>
      <name val="Arial"/>
      <charset val="1"/>
    </font>
    <font>
      <sz val="11"/>
      <color rgb="FF0000FF"/>
      <name val="Arial"/>
      <charset val="1"/>
    </font>
    <font>
      <sz val="11"/>
      <color rgb="FF000000"/>
      <name val="Arial"/>
      <charset val="1"/>
    </font>
    <font>
      <b/>
      <sz val="11"/>
      <name val="Arial"/>
      <charset val="1"/>
    </font>
    <font>
      <b/>
      <sz val="12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99"/>
        <bgColor rgb="FFFFFFCC"/>
      </patternFill>
    </fill>
    <fill>
      <patternFill patternType="solid">
        <fgColor rgb="FFD9E1F2"/>
        <bgColor rgb="FFCCFFFF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3" fontId="4" fillId="3" borderId="1" xfId="0" applyNumberFormat="1" applyFont="1" applyFill="1" applyBorder="1"/>
    <xf numFmtId="3" fontId="5" fillId="0" borderId="1" xfId="0" applyNumberFormat="1" applyFont="1" applyBorder="1"/>
    <xf numFmtId="164" fontId="4" fillId="3" borderId="1" xfId="0" applyNumberFormat="1" applyFont="1" applyFill="1" applyBorder="1"/>
    <xf numFmtId="3" fontId="6" fillId="4" borderId="1" xfId="0" applyNumberFormat="1" applyFont="1" applyFill="1" applyBorder="1"/>
    <xf numFmtId="0" fontId="7" fillId="0" borderId="0" xfId="0" applyFont="1"/>
    <xf numFmtId="0" fontId="6" fillId="4" borderId="1" xfId="0" applyFont="1" applyFill="1" applyBorder="1"/>
    <xf numFmtId="165" fontId="5" fillId="0" borderId="1" xfId="0" applyNumberFormat="1" applyFont="1" applyBorder="1"/>
    <xf numFmtId="0" fontId="5" fillId="0" borderId="1" xfId="0" applyFont="1" applyBorder="1"/>
    <xf numFmtId="0" fontId="4" fillId="3" borderId="2" xfId="0" applyFont="1" applyFill="1" applyBorder="1"/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tabSelected="1" zoomScaleNormal="100" workbookViewId="0">
      <pane ySplit="4" topLeftCell="A5" activePane="bottomLeft" state="frozen"/>
      <selection pane="bottomLeft" activeCell="E12" sqref="E12"/>
    </sheetView>
  </sheetViews>
  <sheetFormatPr defaultColWidth="8.7109375" defaultRowHeight="15" x14ac:dyDescent="0.25"/>
  <cols>
    <col min="1" max="1" width="28" customWidth="1"/>
    <col min="2" max="2" width="14" customWidth="1"/>
    <col min="3" max="4" width="20" customWidth="1"/>
    <col min="5" max="5" width="16" customWidth="1"/>
    <col min="6" max="6" width="18" customWidth="1"/>
  </cols>
  <sheetData>
    <row r="1" spans="1:6" ht="18" x14ac:dyDescent="0.25">
      <c r="A1" s="1" t="s">
        <v>0</v>
      </c>
    </row>
    <row r="2" spans="1:6" x14ac:dyDescent="0.25">
      <c r="A2" s="13" t="s">
        <v>1</v>
      </c>
      <c r="B2" s="13"/>
      <c r="C2" s="13"/>
      <c r="D2" s="13"/>
      <c r="E2" s="13"/>
      <c r="F2" s="13"/>
    </row>
    <row r="4" spans="1:6" ht="30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x14ac:dyDescent="0.25">
      <c r="A5" s="3" t="s">
        <v>28</v>
      </c>
      <c r="B5" s="3" t="s">
        <v>34</v>
      </c>
      <c r="C5" s="4">
        <v>2500</v>
      </c>
      <c r="D5" s="4">
        <v>5000</v>
      </c>
      <c r="E5" s="5">
        <f>D5-C5</f>
        <v>2500</v>
      </c>
      <c r="F5" s="3">
        <v>8</v>
      </c>
    </row>
    <row r="6" spans="1:6" x14ac:dyDescent="0.25">
      <c r="A6" s="3" t="s">
        <v>29</v>
      </c>
      <c r="B6" s="3" t="s">
        <v>34</v>
      </c>
      <c r="C6" s="4">
        <v>2500</v>
      </c>
      <c r="D6" s="4">
        <v>5000</v>
      </c>
      <c r="E6" s="5">
        <f t="shared" ref="E6:E11" si="0">D6-C6</f>
        <v>2500</v>
      </c>
      <c r="F6" s="3">
        <v>4</v>
      </c>
    </row>
    <row r="7" spans="1:6" x14ac:dyDescent="0.25">
      <c r="A7" s="3" t="s">
        <v>30</v>
      </c>
      <c r="B7" s="3" t="s">
        <v>34</v>
      </c>
      <c r="C7" s="4">
        <v>2500</v>
      </c>
      <c r="D7" s="4">
        <v>5000</v>
      </c>
      <c r="E7" s="5">
        <f t="shared" si="0"/>
        <v>2500</v>
      </c>
      <c r="F7" s="3">
        <v>2</v>
      </c>
    </row>
    <row r="8" spans="1:6" x14ac:dyDescent="0.25">
      <c r="A8" s="3" t="s">
        <v>31</v>
      </c>
      <c r="B8" s="3" t="s">
        <v>34</v>
      </c>
      <c r="C8" s="4">
        <v>2500</v>
      </c>
      <c r="D8" s="4">
        <v>5000</v>
      </c>
      <c r="E8" s="5">
        <f t="shared" si="0"/>
        <v>2500</v>
      </c>
      <c r="F8" s="3">
        <v>2</v>
      </c>
    </row>
    <row r="9" spans="1:6" x14ac:dyDescent="0.25">
      <c r="A9" s="3" t="s">
        <v>32</v>
      </c>
      <c r="B9" s="3" t="s">
        <v>34</v>
      </c>
      <c r="C9" s="4">
        <v>2500</v>
      </c>
      <c r="D9" s="4">
        <v>5000</v>
      </c>
      <c r="E9" s="5">
        <f t="shared" si="0"/>
        <v>2500</v>
      </c>
      <c r="F9" s="3">
        <v>3</v>
      </c>
    </row>
    <row r="10" spans="1:6" x14ac:dyDescent="0.25">
      <c r="A10" s="3" t="s">
        <v>33</v>
      </c>
      <c r="B10" s="3" t="s">
        <v>34</v>
      </c>
      <c r="C10" s="4">
        <v>2500</v>
      </c>
      <c r="D10" s="4">
        <v>5000</v>
      </c>
      <c r="E10" s="5">
        <f t="shared" si="0"/>
        <v>2500</v>
      </c>
      <c r="F10" s="3">
        <v>2</v>
      </c>
    </row>
    <row r="11" spans="1:6" x14ac:dyDescent="0.25">
      <c r="A11" s="3"/>
      <c r="B11" s="3"/>
      <c r="C11" s="4"/>
      <c r="D11" s="4"/>
      <c r="E11" s="5">
        <f t="shared" si="0"/>
        <v>0</v>
      </c>
      <c r="F11" s="3">
        <v>2</v>
      </c>
    </row>
    <row r="12" spans="1:6" x14ac:dyDescent="0.25">
      <c r="A12" s="3"/>
      <c r="B12" s="3"/>
      <c r="C12" s="4"/>
      <c r="D12" s="4"/>
      <c r="E12" s="5"/>
      <c r="F12" s="3"/>
    </row>
    <row r="13" spans="1:6" x14ac:dyDescent="0.25">
      <c r="A13" s="3"/>
      <c r="B13" s="3"/>
      <c r="C13" s="4"/>
      <c r="D13" s="4"/>
      <c r="E13" s="5"/>
      <c r="F13" s="3"/>
    </row>
    <row r="14" spans="1:6" x14ac:dyDescent="0.25">
      <c r="A14" s="3"/>
      <c r="B14" s="3"/>
      <c r="C14" s="4"/>
      <c r="D14" s="4"/>
      <c r="E14" s="5"/>
      <c r="F14" s="3"/>
    </row>
    <row r="15" spans="1:6" x14ac:dyDescent="0.25">
      <c r="A15" s="3"/>
      <c r="B15" s="3"/>
      <c r="C15" s="4"/>
      <c r="D15" s="4"/>
      <c r="E15" s="5"/>
      <c r="F15" s="3"/>
    </row>
    <row r="16" spans="1:6" x14ac:dyDescent="0.25">
      <c r="A16" s="3"/>
      <c r="B16" s="3"/>
      <c r="C16" s="4"/>
      <c r="D16" s="4"/>
      <c r="E16" s="5"/>
      <c r="F16" s="3"/>
    </row>
    <row r="17" spans="1:6" x14ac:dyDescent="0.25">
      <c r="A17" s="3"/>
      <c r="B17" s="3"/>
      <c r="C17" s="4"/>
      <c r="D17" s="4"/>
      <c r="E17" s="5"/>
      <c r="F17" s="3"/>
    </row>
    <row r="18" spans="1:6" x14ac:dyDescent="0.25">
      <c r="A18" s="3"/>
      <c r="B18" s="3"/>
      <c r="C18" s="4"/>
      <c r="D18" s="4"/>
      <c r="E18" s="5"/>
      <c r="F18" s="3"/>
    </row>
    <row r="19" spans="1:6" x14ac:dyDescent="0.25">
      <c r="A19" s="3"/>
      <c r="B19" s="3"/>
      <c r="C19" s="4"/>
      <c r="D19" s="4"/>
      <c r="E19" s="5"/>
      <c r="F19" s="3"/>
    </row>
    <row r="20" spans="1:6" x14ac:dyDescent="0.25">
      <c r="A20" s="3"/>
      <c r="B20" s="3"/>
      <c r="C20" s="4"/>
      <c r="D20" s="4"/>
      <c r="E20" s="5"/>
      <c r="F20" s="3"/>
    </row>
    <row r="21" spans="1:6" x14ac:dyDescent="0.25">
      <c r="A21" s="3"/>
      <c r="B21" s="3"/>
      <c r="C21" s="4"/>
      <c r="D21" s="4"/>
      <c r="E21" s="5" t="str">
        <f t="shared" ref="E21:E51" si="1">IF(D21="","",D21-C21)</f>
        <v/>
      </c>
      <c r="F21" s="3"/>
    </row>
    <row r="22" spans="1:6" x14ac:dyDescent="0.25">
      <c r="A22" s="3"/>
      <c r="B22" s="3"/>
      <c r="C22" s="4"/>
      <c r="D22" s="4"/>
      <c r="E22" s="5" t="str">
        <f t="shared" si="1"/>
        <v/>
      </c>
      <c r="F22" s="3"/>
    </row>
    <row r="23" spans="1:6" x14ac:dyDescent="0.25">
      <c r="A23" s="3"/>
      <c r="B23" s="3"/>
      <c r="C23" s="4"/>
      <c r="D23" s="4"/>
      <c r="E23" s="5" t="str">
        <f t="shared" si="1"/>
        <v/>
      </c>
      <c r="F23" s="3"/>
    </row>
    <row r="24" spans="1:6" x14ac:dyDescent="0.25">
      <c r="A24" s="3"/>
      <c r="B24" s="3"/>
      <c r="C24" s="4"/>
      <c r="D24" s="4"/>
      <c r="E24" s="5" t="str">
        <f t="shared" si="1"/>
        <v/>
      </c>
      <c r="F24" s="3"/>
    </row>
    <row r="25" spans="1:6" x14ac:dyDescent="0.25">
      <c r="A25" s="3"/>
      <c r="B25" s="3"/>
      <c r="C25" s="4"/>
      <c r="D25" s="4"/>
      <c r="E25" s="5" t="str">
        <f t="shared" si="1"/>
        <v/>
      </c>
      <c r="F25" s="3"/>
    </row>
    <row r="26" spans="1:6" x14ac:dyDescent="0.25">
      <c r="A26" s="3"/>
      <c r="B26" s="3"/>
      <c r="C26" s="4"/>
      <c r="D26" s="4"/>
      <c r="E26" s="5" t="str">
        <f t="shared" si="1"/>
        <v/>
      </c>
      <c r="F26" s="3"/>
    </row>
    <row r="27" spans="1:6" x14ac:dyDescent="0.25">
      <c r="A27" s="3"/>
      <c r="B27" s="3"/>
      <c r="C27" s="4"/>
      <c r="D27" s="4"/>
      <c r="E27" s="5" t="str">
        <f t="shared" si="1"/>
        <v/>
      </c>
      <c r="F27" s="3"/>
    </row>
    <row r="28" spans="1:6" x14ac:dyDescent="0.25">
      <c r="A28" s="3"/>
      <c r="B28" s="3"/>
      <c r="C28" s="4"/>
      <c r="D28" s="4"/>
      <c r="E28" s="5" t="str">
        <f t="shared" si="1"/>
        <v/>
      </c>
      <c r="F28" s="3"/>
    </row>
    <row r="29" spans="1:6" x14ac:dyDescent="0.25">
      <c r="A29" s="3"/>
      <c r="B29" s="3"/>
      <c r="C29" s="4"/>
      <c r="D29" s="4"/>
      <c r="E29" s="5" t="str">
        <f t="shared" si="1"/>
        <v/>
      </c>
      <c r="F29" s="3"/>
    </row>
    <row r="30" spans="1:6" x14ac:dyDescent="0.25">
      <c r="A30" s="3"/>
      <c r="B30" s="3"/>
      <c r="C30" s="4"/>
      <c r="D30" s="4"/>
      <c r="E30" s="5" t="str">
        <f t="shared" si="1"/>
        <v/>
      </c>
      <c r="F30" s="3"/>
    </row>
    <row r="31" spans="1:6" x14ac:dyDescent="0.25">
      <c r="A31" s="3"/>
      <c r="B31" s="3"/>
      <c r="C31" s="4"/>
      <c r="D31" s="4"/>
      <c r="E31" s="5" t="str">
        <f t="shared" si="1"/>
        <v/>
      </c>
      <c r="F31" s="3"/>
    </row>
    <row r="32" spans="1:6" x14ac:dyDescent="0.25">
      <c r="A32" s="3"/>
      <c r="B32" s="3"/>
      <c r="C32" s="4"/>
      <c r="D32" s="4"/>
      <c r="E32" s="5" t="str">
        <f t="shared" si="1"/>
        <v/>
      </c>
      <c r="F32" s="3"/>
    </row>
    <row r="33" spans="1:6" x14ac:dyDescent="0.25">
      <c r="A33" s="3"/>
      <c r="B33" s="3"/>
      <c r="C33" s="4"/>
      <c r="D33" s="4"/>
      <c r="E33" s="5" t="str">
        <f t="shared" si="1"/>
        <v/>
      </c>
      <c r="F33" s="3"/>
    </row>
    <row r="34" spans="1:6" x14ac:dyDescent="0.25">
      <c r="A34" s="3"/>
      <c r="B34" s="3"/>
      <c r="C34" s="4"/>
      <c r="D34" s="4"/>
      <c r="E34" s="5" t="str">
        <f t="shared" si="1"/>
        <v/>
      </c>
      <c r="F34" s="3"/>
    </row>
    <row r="35" spans="1:6" x14ac:dyDescent="0.25">
      <c r="A35" s="3"/>
      <c r="B35" s="3"/>
      <c r="C35" s="4"/>
      <c r="D35" s="4"/>
      <c r="E35" s="5" t="str">
        <f t="shared" si="1"/>
        <v/>
      </c>
      <c r="F35" s="3"/>
    </row>
    <row r="36" spans="1:6" x14ac:dyDescent="0.25">
      <c r="A36" s="3"/>
      <c r="B36" s="3"/>
      <c r="C36" s="4"/>
      <c r="D36" s="4"/>
      <c r="E36" s="5" t="str">
        <f t="shared" si="1"/>
        <v/>
      </c>
      <c r="F36" s="3"/>
    </row>
    <row r="37" spans="1:6" x14ac:dyDescent="0.25">
      <c r="A37" s="3"/>
      <c r="B37" s="3"/>
      <c r="C37" s="4"/>
      <c r="D37" s="4"/>
      <c r="E37" s="5" t="str">
        <f t="shared" si="1"/>
        <v/>
      </c>
      <c r="F37" s="3"/>
    </row>
    <row r="38" spans="1:6" x14ac:dyDescent="0.25">
      <c r="A38" s="3"/>
      <c r="B38" s="3"/>
      <c r="C38" s="4"/>
      <c r="D38" s="4"/>
      <c r="E38" s="5" t="str">
        <f t="shared" si="1"/>
        <v/>
      </c>
      <c r="F38" s="3"/>
    </row>
    <row r="39" spans="1:6" x14ac:dyDescent="0.25">
      <c r="A39" s="3"/>
      <c r="B39" s="3"/>
      <c r="C39" s="4"/>
      <c r="D39" s="4"/>
      <c r="E39" s="5" t="str">
        <f t="shared" si="1"/>
        <v/>
      </c>
      <c r="F39" s="3"/>
    </row>
    <row r="40" spans="1:6" x14ac:dyDescent="0.25">
      <c r="A40" s="3"/>
      <c r="B40" s="3"/>
      <c r="C40" s="4"/>
      <c r="D40" s="4"/>
      <c r="E40" s="5" t="str">
        <f t="shared" si="1"/>
        <v/>
      </c>
      <c r="F40" s="3"/>
    </row>
    <row r="41" spans="1:6" x14ac:dyDescent="0.25">
      <c r="A41" s="3"/>
      <c r="B41" s="3"/>
      <c r="C41" s="4"/>
      <c r="D41" s="4"/>
      <c r="E41" s="5" t="str">
        <f t="shared" si="1"/>
        <v/>
      </c>
      <c r="F41" s="3"/>
    </row>
    <row r="42" spans="1:6" x14ac:dyDescent="0.25">
      <c r="A42" s="3"/>
      <c r="B42" s="3"/>
      <c r="C42" s="4"/>
      <c r="D42" s="4"/>
      <c r="E42" s="5" t="str">
        <f t="shared" si="1"/>
        <v/>
      </c>
      <c r="F42" s="3"/>
    </row>
    <row r="43" spans="1:6" x14ac:dyDescent="0.25">
      <c r="A43" s="3"/>
      <c r="B43" s="3"/>
      <c r="C43" s="4"/>
      <c r="D43" s="4"/>
      <c r="E43" s="5" t="str">
        <f t="shared" si="1"/>
        <v/>
      </c>
      <c r="F43" s="3"/>
    </row>
    <row r="44" spans="1:6" x14ac:dyDescent="0.25">
      <c r="A44" s="3"/>
      <c r="B44" s="3"/>
      <c r="C44" s="4"/>
      <c r="D44" s="4"/>
      <c r="E44" s="5" t="str">
        <f t="shared" si="1"/>
        <v/>
      </c>
      <c r="F44" s="3"/>
    </row>
    <row r="45" spans="1:6" x14ac:dyDescent="0.25">
      <c r="A45" s="3"/>
      <c r="B45" s="3"/>
      <c r="C45" s="4"/>
      <c r="D45" s="4"/>
      <c r="E45" s="5" t="str">
        <f t="shared" si="1"/>
        <v/>
      </c>
      <c r="F45" s="3"/>
    </row>
    <row r="46" spans="1:6" x14ac:dyDescent="0.25">
      <c r="A46" s="3"/>
      <c r="B46" s="3"/>
      <c r="C46" s="4"/>
      <c r="D46" s="4"/>
      <c r="E46" s="5" t="str">
        <f t="shared" si="1"/>
        <v/>
      </c>
      <c r="F46" s="3"/>
    </row>
    <row r="47" spans="1:6" x14ac:dyDescent="0.25">
      <c r="A47" s="3"/>
      <c r="B47" s="3"/>
      <c r="C47" s="4"/>
      <c r="D47" s="4"/>
      <c r="E47" s="5" t="str">
        <f t="shared" si="1"/>
        <v/>
      </c>
      <c r="F47" s="3"/>
    </row>
    <row r="48" spans="1:6" x14ac:dyDescent="0.25">
      <c r="A48" s="3"/>
      <c r="B48" s="3"/>
      <c r="C48" s="4"/>
      <c r="D48" s="4"/>
      <c r="E48" s="5" t="str">
        <f t="shared" si="1"/>
        <v/>
      </c>
      <c r="F48" s="3"/>
    </row>
    <row r="49" spans="1:6" x14ac:dyDescent="0.25">
      <c r="A49" s="3"/>
      <c r="B49" s="3"/>
      <c r="C49" s="4"/>
      <c r="D49" s="4"/>
      <c r="E49" s="5" t="str">
        <f t="shared" si="1"/>
        <v/>
      </c>
      <c r="F49" s="3"/>
    </row>
    <row r="50" spans="1:6" x14ac:dyDescent="0.25">
      <c r="A50" s="3"/>
      <c r="B50" s="3"/>
      <c r="C50" s="4"/>
      <c r="D50" s="4"/>
      <c r="E50" s="5" t="str">
        <f t="shared" si="1"/>
        <v/>
      </c>
      <c r="F50" s="3"/>
    </row>
    <row r="51" spans="1:6" x14ac:dyDescent="0.25">
      <c r="A51" s="3"/>
      <c r="B51" s="3"/>
      <c r="C51" s="4"/>
      <c r="D51" s="4"/>
      <c r="E51" s="5" t="str">
        <f t="shared" si="1"/>
        <v/>
      </c>
      <c r="F51" s="3"/>
    </row>
    <row r="52" spans="1:6" x14ac:dyDescent="0.25">
      <c r="A52" s="12"/>
    </row>
    <row r="53" spans="1:6" x14ac:dyDescent="0.25">
      <c r="A53" s="12"/>
    </row>
    <row r="54" spans="1:6" x14ac:dyDescent="0.25">
      <c r="A54" s="12"/>
    </row>
    <row r="55" spans="1:6" x14ac:dyDescent="0.25">
      <c r="A55" s="12"/>
    </row>
  </sheetData>
  <mergeCells count="1"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2"/>
  <sheetViews>
    <sheetView zoomScaleNormal="100" workbookViewId="0">
      <pane ySplit="4" topLeftCell="A5" activePane="bottomLeft" state="frozen"/>
      <selection pane="bottomLeft" activeCell="C5" sqref="C5"/>
    </sheetView>
  </sheetViews>
  <sheetFormatPr defaultColWidth="8.7109375" defaultRowHeight="15" x14ac:dyDescent="0.25"/>
  <cols>
    <col min="1" max="1" width="14" customWidth="1"/>
    <col min="2" max="2" width="26" customWidth="1"/>
    <col min="3" max="3" width="14" customWidth="1"/>
    <col min="4" max="4" width="16" customWidth="1"/>
    <col min="5" max="5" width="12" customWidth="1"/>
    <col min="6" max="6" width="15" customWidth="1"/>
    <col min="7" max="7" width="13" customWidth="1"/>
    <col min="8" max="8" width="12" customWidth="1"/>
  </cols>
  <sheetData>
    <row r="1" spans="1:8" ht="18" x14ac:dyDescent="0.25">
      <c r="A1" s="1" t="s">
        <v>8</v>
      </c>
    </row>
    <row r="2" spans="1:8" x14ac:dyDescent="0.25">
      <c r="A2" s="13" t="s">
        <v>9</v>
      </c>
      <c r="B2" s="13"/>
      <c r="C2" s="13"/>
      <c r="D2" s="13"/>
      <c r="E2" s="13"/>
      <c r="F2" s="13"/>
      <c r="G2" s="13"/>
      <c r="H2" s="13"/>
    </row>
    <row r="4" spans="1:8" ht="30" x14ac:dyDescent="0.25">
      <c r="A4" s="2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</row>
    <row r="5" spans="1:8" x14ac:dyDescent="0.25">
      <c r="A5" s="6">
        <v>46226</v>
      </c>
      <c r="B5" s="3" t="s">
        <v>30</v>
      </c>
      <c r="C5" s="3">
        <v>2</v>
      </c>
      <c r="D5" s="5">
        <f>IF($B5="","",IFERROR(INDEX(Products!$D$5:$D$51,MATCH($B5,Products!$A$5:$A$51,0)),""))</f>
        <v>5000</v>
      </c>
      <c r="E5" s="5">
        <f>IF($B5="","",IFERROR(INDEX(Products!$C$5:$C$51,MATCH($B5,Products!$A$5:$A$51,0)),""))</f>
        <v>2500</v>
      </c>
      <c r="F5" s="5">
        <f t="shared" ref="F5:F68" si="0">IF($B5="","",$C5*$D5)</f>
        <v>10000</v>
      </c>
      <c r="G5" s="5">
        <f t="shared" ref="G5:G68" si="1">IF($B5="","",$C5*$E5)</f>
        <v>5000</v>
      </c>
      <c r="H5" s="5">
        <f t="shared" ref="H5:H68" si="2">IF($B5="","",$F5-$G5)</f>
        <v>5000</v>
      </c>
    </row>
    <row r="6" spans="1:8" x14ac:dyDescent="0.25">
      <c r="A6" s="6"/>
      <c r="B6" s="3"/>
      <c r="C6" s="3"/>
      <c r="D6" s="5" t="str">
        <f>IF($B6="","",IFERROR(INDEX(Products!$D$5:$D$51,MATCH($B6,Products!$A$5:$A$51,0)),""))</f>
        <v/>
      </c>
      <c r="E6" s="5" t="str">
        <f>IF($B6="","",IFERROR(INDEX(Products!$C$5:$C$51,MATCH($B6,Products!$A$5:$A$51,0)),""))</f>
        <v/>
      </c>
      <c r="F6" s="5" t="str">
        <f t="shared" si="0"/>
        <v/>
      </c>
      <c r="G6" s="5" t="str">
        <f t="shared" si="1"/>
        <v/>
      </c>
      <c r="H6" s="5" t="str">
        <f t="shared" si="2"/>
        <v/>
      </c>
    </row>
    <row r="7" spans="1:8" x14ac:dyDescent="0.25">
      <c r="A7" s="6"/>
      <c r="B7" s="3"/>
      <c r="C7" s="3"/>
      <c r="D7" s="5" t="str">
        <f>IF($B7="","",IFERROR(INDEX(Products!$D$5:$D$51,MATCH($B7,Products!$A$5:$A$51,0)),""))</f>
        <v/>
      </c>
      <c r="E7" s="5" t="str">
        <f>IF($B7="","",IFERROR(INDEX(Products!$C$5:$C$51,MATCH($B7,Products!$A$5:$A$51,0)),""))</f>
        <v/>
      </c>
      <c r="F7" s="5" t="str">
        <f t="shared" si="0"/>
        <v/>
      </c>
      <c r="G7" s="5" t="str">
        <f t="shared" si="1"/>
        <v/>
      </c>
      <c r="H7" s="5" t="str">
        <f t="shared" si="2"/>
        <v/>
      </c>
    </row>
    <row r="8" spans="1:8" x14ac:dyDescent="0.25">
      <c r="A8" s="6"/>
      <c r="B8" s="3"/>
      <c r="C8" s="3"/>
      <c r="D8" s="5" t="str">
        <f>IF($B8="","",IFERROR(INDEX(Products!$D$5:$D$51,MATCH($B8,Products!$A$5:$A$51,0)),""))</f>
        <v/>
      </c>
      <c r="E8" s="5" t="str">
        <f>IF($B8="","",IFERROR(INDEX(Products!$C$5:$C$51,MATCH($B8,Products!$A$5:$A$51,0)),""))</f>
        <v/>
      </c>
      <c r="F8" s="5" t="str">
        <f t="shared" si="0"/>
        <v/>
      </c>
      <c r="G8" s="5" t="str">
        <f t="shared" si="1"/>
        <v/>
      </c>
      <c r="H8" s="5" t="str">
        <f t="shared" si="2"/>
        <v/>
      </c>
    </row>
    <row r="9" spans="1:8" x14ac:dyDescent="0.25">
      <c r="A9" s="6"/>
      <c r="B9" s="3"/>
      <c r="C9" s="3"/>
      <c r="D9" s="5" t="str">
        <f>IF($B9="","",IFERROR(INDEX(Products!$D$5:$D$51,MATCH($B9,Products!$A$5:$A$51,0)),""))</f>
        <v/>
      </c>
      <c r="E9" s="5" t="str">
        <f>IF($B9="","",IFERROR(INDEX(Products!$C$5:$C$51,MATCH($B9,Products!$A$5:$A$51,0)),""))</f>
        <v/>
      </c>
      <c r="F9" s="5" t="str">
        <f t="shared" si="0"/>
        <v/>
      </c>
      <c r="G9" s="5" t="str">
        <f t="shared" si="1"/>
        <v/>
      </c>
      <c r="H9" s="5" t="str">
        <f t="shared" si="2"/>
        <v/>
      </c>
    </row>
    <row r="10" spans="1:8" x14ac:dyDescent="0.25">
      <c r="A10" s="6"/>
      <c r="B10" s="3"/>
      <c r="C10" s="3"/>
      <c r="D10" s="5" t="str">
        <f>IF($B10="","",IFERROR(INDEX(Products!$D$5:$D$51,MATCH($B10,Products!$A$5:$A$51,0)),""))</f>
        <v/>
      </c>
      <c r="E10" s="5" t="str">
        <f>IF($B10="","",IFERROR(INDEX(Products!$C$5:$C$51,MATCH($B10,Products!$A$5:$A$51,0)),""))</f>
        <v/>
      </c>
      <c r="F10" s="5" t="str">
        <f t="shared" si="0"/>
        <v/>
      </c>
      <c r="G10" s="5" t="str">
        <f t="shared" si="1"/>
        <v/>
      </c>
      <c r="H10" s="5" t="str">
        <f t="shared" si="2"/>
        <v/>
      </c>
    </row>
    <row r="11" spans="1:8" x14ac:dyDescent="0.25">
      <c r="A11" s="6"/>
      <c r="B11" s="3"/>
      <c r="C11" s="3"/>
      <c r="D11" s="5" t="str">
        <f>IF($B11="","",IFERROR(INDEX(Products!$D$5:$D$51,MATCH($B11,Products!$A$5:$A$51,0)),""))</f>
        <v/>
      </c>
      <c r="E11" s="5" t="str">
        <f>IF($B11="","",IFERROR(INDEX(Products!$C$5:$C$51,MATCH($B11,Products!$A$5:$A$51,0)),""))</f>
        <v/>
      </c>
      <c r="F11" s="5" t="str">
        <f t="shared" si="0"/>
        <v/>
      </c>
      <c r="G11" s="5" t="str">
        <f t="shared" si="1"/>
        <v/>
      </c>
      <c r="H11" s="5" t="str">
        <f t="shared" si="2"/>
        <v/>
      </c>
    </row>
    <row r="12" spans="1:8" x14ac:dyDescent="0.25">
      <c r="A12" s="6"/>
      <c r="B12" s="3"/>
      <c r="C12" s="3"/>
      <c r="D12" s="5" t="str">
        <f>IF($B12="","",IFERROR(INDEX(Products!$D$5:$D$51,MATCH($B12,Products!$A$5:$A$51,0)),""))</f>
        <v/>
      </c>
      <c r="E12" s="5" t="str">
        <f>IF($B12="","",IFERROR(INDEX(Products!$C$5:$C$51,MATCH($B12,Products!$A$5:$A$51,0)),""))</f>
        <v/>
      </c>
      <c r="F12" s="5" t="str">
        <f t="shared" si="0"/>
        <v/>
      </c>
      <c r="G12" s="5" t="str">
        <f t="shared" si="1"/>
        <v/>
      </c>
      <c r="H12" s="5" t="str">
        <f t="shared" si="2"/>
        <v/>
      </c>
    </row>
    <row r="13" spans="1:8" x14ac:dyDescent="0.25">
      <c r="A13" s="6"/>
      <c r="B13" s="3"/>
      <c r="C13" s="3"/>
      <c r="D13" s="5" t="str">
        <f>IF($B13="","",IFERROR(INDEX(Products!$D$5:$D$51,MATCH($B13,Products!$A$5:$A$51,0)),""))</f>
        <v/>
      </c>
      <c r="E13" s="5" t="str">
        <f>IF($B13="","",IFERROR(INDEX(Products!$C$5:$C$51,MATCH($B13,Products!$A$5:$A$51,0)),""))</f>
        <v/>
      </c>
      <c r="F13" s="5" t="str">
        <f t="shared" si="0"/>
        <v/>
      </c>
      <c r="G13" s="5" t="str">
        <f t="shared" si="1"/>
        <v/>
      </c>
      <c r="H13" s="5" t="str">
        <f t="shared" si="2"/>
        <v/>
      </c>
    </row>
    <row r="14" spans="1:8" x14ac:dyDescent="0.25">
      <c r="A14" s="6"/>
      <c r="B14" s="3"/>
      <c r="C14" s="3"/>
      <c r="D14" s="5" t="str">
        <f>IF($B14="","",IFERROR(INDEX(Products!$D$5:$D$51,MATCH($B14,Products!$A$5:$A$51,0)),""))</f>
        <v/>
      </c>
      <c r="E14" s="5" t="str">
        <f>IF($B14="","",IFERROR(INDEX(Products!$C$5:$C$51,MATCH($B14,Products!$A$5:$A$51,0)),""))</f>
        <v/>
      </c>
      <c r="F14" s="5" t="str">
        <f t="shared" si="0"/>
        <v/>
      </c>
      <c r="G14" s="5" t="str">
        <f t="shared" si="1"/>
        <v/>
      </c>
      <c r="H14" s="5" t="str">
        <f t="shared" si="2"/>
        <v/>
      </c>
    </row>
    <row r="15" spans="1:8" x14ac:dyDescent="0.25">
      <c r="A15" s="6"/>
      <c r="B15" s="3"/>
      <c r="C15" s="3"/>
      <c r="D15" s="5" t="str">
        <f>IF($B15="","",IFERROR(INDEX(Products!$D$5:$D$51,MATCH($B15,Products!$A$5:$A$51,0)),""))</f>
        <v/>
      </c>
      <c r="E15" s="5" t="str">
        <f>IF($B15="","",IFERROR(INDEX(Products!$C$5:$C$51,MATCH($B15,Products!$A$5:$A$51,0)),""))</f>
        <v/>
      </c>
      <c r="F15" s="5" t="str">
        <f t="shared" si="0"/>
        <v/>
      </c>
      <c r="G15" s="5" t="str">
        <f t="shared" si="1"/>
        <v/>
      </c>
      <c r="H15" s="5" t="str">
        <f t="shared" si="2"/>
        <v/>
      </c>
    </row>
    <row r="16" spans="1:8" x14ac:dyDescent="0.25">
      <c r="A16" s="6"/>
      <c r="B16" s="3"/>
      <c r="C16" s="3"/>
      <c r="D16" s="5" t="str">
        <f>IF($B16="","",IFERROR(INDEX(Products!$D$5:$D$51,MATCH($B16,Products!$A$5:$A$51,0)),""))</f>
        <v/>
      </c>
      <c r="E16" s="5" t="str">
        <f>IF($B16="","",IFERROR(INDEX(Products!$C$5:$C$51,MATCH($B16,Products!$A$5:$A$51,0)),""))</f>
        <v/>
      </c>
      <c r="F16" s="5" t="str">
        <f t="shared" si="0"/>
        <v/>
      </c>
      <c r="G16" s="5" t="str">
        <f t="shared" si="1"/>
        <v/>
      </c>
      <c r="H16" s="5" t="str">
        <f t="shared" si="2"/>
        <v/>
      </c>
    </row>
    <row r="17" spans="1:8" x14ac:dyDescent="0.25">
      <c r="A17" s="6"/>
      <c r="B17" s="3"/>
      <c r="C17" s="3"/>
      <c r="D17" s="5" t="str">
        <f>IF($B17="","",IFERROR(INDEX(Products!$D$5:$D$51,MATCH($B17,Products!$A$5:$A$51,0)),""))</f>
        <v/>
      </c>
      <c r="E17" s="5" t="str">
        <f>IF($B17="","",IFERROR(INDEX(Products!$C$5:$C$51,MATCH($B17,Products!$A$5:$A$51,0)),""))</f>
        <v/>
      </c>
      <c r="F17" s="5" t="str">
        <f t="shared" si="0"/>
        <v/>
      </c>
      <c r="G17" s="5" t="str">
        <f t="shared" si="1"/>
        <v/>
      </c>
      <c r="H17" s="5" t="str">
        <f t="shared" si="2"/>
        <v/>
      </c>
    </row>
    <row r="18" spans="1:8" x14ac:dyDescent="0.25">
      <c r="A18" s="6"/>
      <c r="B18" s="3"/>
      <c r="C18" s="3"/>
      <c r="D18" s="5" t="str">
        <f>IF($B18="","",IFERROR(INDEX(Products!$D$5:$D$51,MATCH($B18,Products!$A$5:$A$51,0)),""))</f>
        <v/>
      </c>
      <c r="E18" s="5" t="str">
        <f>IF($B18="","",IFERROR(INDEX(Products!$C$5:$C$51,MATCH($B18,Products!$A$5:$A$51,0)),""))</f>
        <v/>
      </c>
      <c r="F18" s="5" t="str">
        <f t="shared" si="0"/>
        <v/>
      </c>
      <c r="G18" s="5" t="str">
        <f t="shared" si="1"/>
        <v/>
      </c>
      <c r="H18" s="5" t="str">
        <f t="shared" si="2"/>
        <v/>
      </c>
    </row>
    <row r="19" spans="1:8" x14ac:dyDescent="0.25">
      <c r="A19" s="6"/>
      <c r="B19" s="3"/>
      <c r="C19" s="3"/>
      <c r="D19" s="5" t="str">
        <f>IF($B19="","",IFERROR(INDEX(Products!$D$5:$D$51,MATCH($B19,Products!$A$5:$A$51,0)),""))</f>
        <v/>
      </c>
      <c r="E19" s="5" t="str">
        <f>IF($B19="","",IFERROR(INDEX(Products!$C$5:$C$51,MATCH($B19,Products!$A$5:$A$51,0)),""))</f>
        <v/>
      </c>
      <c r="F19" s="5" t="str">
        <f t="shared" si="0"/>
        <v/>
      </c>
      <c r="G19" s="5" t="str">
        <f t="shared" si="1"/>
        <v/>
      </c>
      <c r="H19" s="5" t="str">
        <f t="shared" si="2"/>
        <v/>
      </c>
    </row>
    <row r="20" spans="1:8" x14ac:dyDescent="0.25">
      <c r="A20" s="6"/>
      <c r="B20" s="3"/>
      <c r="C20" s="3"/>
      <c r="D20" s="5" t="str">
        <f>IF($B20="","",IFERROR(INDEX(Products!$D$5:$D$51,MATCH($B20,Products!$A$5:$A$51,0)),""))</f>
        <v/>
      </c>
      <c r="E20" s="5" t="str">
        <f>IF($B20="","",IFERROR(INDEX(Products!$C$5:$C$51,MATCH($B20,Products!$A$5:$A$51,0)),""))</f>
        <v/>
      </c>
      <c r="F20" s="5" t="str">
        <f t="shared" si="0"/>
        <v/>
      </c>
      <c r="G20" s="5" t="str">
        <f t="shared" si="1"/>
        <v/>
      </c>
      <c r="H20" s="5" t="str">
        <f t="shared" si="2"/>
        <v/>
      </c>
    </row>
    <row r="21" spans="1:8" x14ac:dyDescent="0.25">
      <c r="A21" s="6"/>
      <c r="B21" s="3"/>
      <c r="C21" s="3"/>
      <c r="D21" s="5" t="str">
        <f>IF($B21="","",IFERROR(INDEX(Products!$D$5:$D$51,MATCH($B21,Products!$A$5:$A$51,0)),""))</f>
        <v/>
      </c>
      <c r="E21" s="5" t="str">
        <f>IF($B21="","",IFERROR(INDEX(Products!$C$5:$C$51,MATCH($B21,Products!$A$5:$A$51,0)),""))</f>
        <v/>
      </c>
      <c r="F21" s="5" t="str">
        <f t="shared" si="0"/>
        <v/>
      </c>
      <c r="G21" s="5" t="str">
        <f t="shared" si="1"/>
        <v/>
      </c>
      <c r="H21" s="5" t="str">
        <f t="shared" si="2"/>
        <v/>
      </c>
    </row>
    <row r="22" spans="1:8" x14ac:dyDescent="0.25">
      <c r="A22" s="6"/>
      <c r="B22" s="3"/>
      <c r="C22" s="3"/>
      <c r="D22" s="5" t="str">
        <f>IF($B22="","",IFERROR(INDEX(Products!$D$5:$D$51,MATCH($B22,Products!$A$5:$A$51,0)),""))</f>
        <v/>
      </c>
      <c r="E22" s="5" t="str">
        <f>IF($B22="","",IFERROR(INDEX(Products!$C$5:$C$51,MATCH($B22,Products!$A$5:$A$51,0)),""))</f>
        <v/>
      </c>
      <c r="F22" s="5" t="str">
        <f t="shared" si="0"/>
        <v/>
      </c>
      <c r="G22" s="5" t="str">
        <f t="shared" si="1"/>
        <v/>
      </c>
      <c r="H22" s="5" t="str">
        <f t="shared" si="2"/>
        <v/>
      </c>
    </row>
    <row r="23" spans="1:8" x14ac:dyDescent="0.25">
      <c r="A23" s="6"/>
      <c r="B23" s="3"/>
      <c r="C23" s="3"/>
      <c r="D23" s="5" t="str">
        <f>IF($B23="","",IFERROR(INDEX(Products!$D$5:$D$51,MATCH($B23,Products!$A$5:$A$51,0)),""))</f>
        <v/>
      </c>
      <c r="E23" s="5" t="str">
        <f>IF($B23="","",IFERROR(INDEX(Products!$C$5:$C$51,MATCH($B23,Products!$A$5:$A$51,0)),""))</f>
        <v/>
      </c>
      <c r="F23" s="5" t="str">
        <f t="shared" si="0"/>
        <v/>
      </c>
      <c r="G23" s="5" t="str">
        <f t="shared" si="1"/>
        <v/>
      </c>
      <c r="H23" s="5" t="str">
        <f t="shared" si="2"/>
        <v/>
      </c>
    </row>
    <row r="24" spans="1:8" x14ac:dyDescent="0.25">
      <c r="A24" s="6"/>
      <c r="B24" s="3"/>
      <c r="C24" s="3"/>
      <c r="D24" s="5" t="str">
        <f>IF($B24="","",IFERROR(INDEX(Products!$D$5:$D$51,MATCH($B24,Products!$A$5:$A$51,0)),""))</f>
        <v/>
      </c>
      <c r="E24" s="5" t="str">
        <f>IF($B24="","",IFERROR(INDEX(Products!$C$5:$C$51,MATCH($B24,Products!$A$5:$A$51,0)),""))</f>
        <v/>
      </c>
      <c r="F24" s="5" t="str">
        <f t="shared" si="0"/>
        <v/>
      </c>
      <c r="G24" s="5" t="str">
        <f t="shared" si="1"/>
        <v/>
      </c>
      <c r="H24" s="5" t="str">
        <f t="shared" si="2"/>
        <v/>
      </c>
    </row>
    <row r="25" spans="1:8" x14ac:dyDescent="0.25">
      <c r="A25" s="6"/>
      <c r="B25" s="3"/>
      <c r="C25" s="3"/>
      <c r="D25" s="5" t="str">
        <f>IF($B25="","",IFERROR(INDEX(Products!$D$5:$D$51,MATCH($B25,Products!$A$5:$A$51,0)),""))</f>
        <v/>
      </c>
      <c r="E25" s="5" t="str">
        <f>IF($B25="","",IFERROR(INDEX(Products!$C$5:$C$51,MATCH($B25,Products!$A$5:$A$51,0)),""))</f>
        <v/>
      </c>
      <c r="F25" s="5" t="str">
        <f t="shared" si="0"/>
        <v/>
      </c>
      <c r="G25" s="5" t="str">
        <f t="shared" si="1"/>
        <v/>
      </c>
      <c r="H25" s="5" t="str">
        <f t="shared" si="2"/>
        <v/>
      </c>
    </row>
    <row r="26" spans="1:8" x14ac:dyDescent="0.25">
      <c r="A26" s="6"/>
      <c r="B26" s="3"/>
      <c r="C26" s="3"/>
      <c r="D26" s="5" t="str">
        <f>IF($B26="","",IFERROR(INDEX(Products!$D$5:$D$51,MATCH($B26,Products!$A$5:$A$51,0)),""))</f>
        <v/>
      </c>
      <c r="E26" s="5" t="str">
        <f>IF($B26="","",IFERROR(INDEX(Products!$C$5:$C$51,MATCH($B26,Products!$A$5:$A$51,0)),""))</f>
        <v/>
      </c>
      <c r="F26" s="5" t="str">
        <f t="shared" si="0"/>
        <v/>
      </c>
      <c r="G26" s="5" t="str">
        <f t="shared" si="1"/>
        <v/>
      </c>
      <c r="H26" s="5" t="str">
        <f t="shared" si="2"/>
        <v/>
      </c>
    </row>
    <row r="27" spans="1:8" x14ac:dyDescent="0.25">
      <c r="A27" s="6"/>
      <c r="B27" s="3"/>
      <c r="C27" s="3"/>
      <c r="D27" s="5" t="str">
        <f>IF($B27="","",IFERROR(INDEX(Products!$D$5:$D$51,MATCH($B27,Products!$A$5:$A$51,0)),""))</f>
        <v/>
      </c>
      <c r="E27" s="5" t="str">
        <f>IF($B27="","",IFERROR(INDEX(Products!$C$5:$C$51,MATCH($B27,Products!$A$5:$A$51,0)),""))</f>
        <v/>
      </c>
      <c r="F27" s="5" t="str">
        <f t="shared" si="0"/>
        <v/>
      </c>
      <c r="G27" s="5" t="str">
        <f t="shared" si="1"/>
        <v/>
      </c>
      <c r="H27" s="5" t="str">
        <f t="shared" si="2"/>
        <v/>
      </c>
    </row>
    <row r="28" spans="1:8" x14ac:dyDescent="0.25">
      <c r="A28" s="6"/>
      <c r="B28" s="3"/>
      <c r="C28" s="3"/>
      <c r="D28" s="5" t="str">
        <f>IF($B28="","",IFERROR(INDEX(Products!$D$5:$D$51,MATCH($B28,Products!$A$5:$A$51,0)),""))</f>
        <v/>
      </c>
      <c r="E28" s="5" t="str">
        <f>IF($B28="","",IFERROR(INDEX(Products!$C$5:$C$51,MATCH($B28,Products!$A$5:$A$51,0)),""))</f>
        <v/>
      </c>
      <c r="F28" s="5" t="str">
        <f t="shared" si="0"/>
        <v/>
      </c>
      <c r="G28" s="5" t="str">
        <f t="shared" si="1"/>
        <v/>
      </c>
      <c r="H28" s="5" t="str">
        <f t="shared" si="2"/>
        <v/>
      </c>
    </row>
    <row r="29" spans="1:8" x14ac:dyDescent="0.25">
      <c r="A29" s="6"/>
      <c r="B29" s="3"/>
      <c r="C29" s="3"/>
      <c r="D29" s="5" t="str">
        <f>IF($B29="","",IFERROR(INDEX(Products!$D$5:$D$51,MATCH($B29,Products!$A$5:$A$51,0)),""))</f>
        <v/>
      </c>
      <c r="E29" s="5" t="str">
        <f>IF($B29="","",IFERROR(INDEX(Products!$C$5:$C$51,MATCH($B29,Products!$A$5:$A$51,0)),""))</f>
        <v/>
      </c>
      <c r="F29" s="5" t="str">
        <f t="shared" si="0"/>
        <v/>
      </c>
      <c r="G29" s="5" t="str">
        <f t="shared" si="1"/>
        <v/>
      </c>
      <c r="H29" s="5" t="str">
        <f t="shared" si="2"/>
        <v/>
      </c>
    </row>
    <row r="30" spans="1:8" x14ac:dyDescent="0.25">
      <c r="A30" s="6"/>
      <c r="B30" s="3"/>
      <c r="C30" s="3"/>
      <c r="D30" s="5" t="str">
        <f>IF($B30="","",IFERROR(INDEX(Products!$D$5:$D$51,MATCH($B30,Products!$A$5:$A$51,0)),""))</f>
        <v/>
      </c>
      <c r="E30" s="5" t="str">
        <f>IF($B30="","",IFERROR(INDEX(Products!$C$5:$C$51,MATCH($B30,Products!$A$5:$A$51,0)),""))</f>
        <v/>
      </c>
      <c r="F30" s="5" t="str">
        <f t="shared" si="0"/>
        <v/>
      </c>
      <c r="G30" s="5" t="str">
        <f t="shared" si="1"/>
        <v/>
      </c>
      <c r="H30" s="5" t="str">
        <f t="shared" si="2"/>
        <v/>
      </c>
    </row>
    <row r="31" spans="1:8" x14ac:dyDescent="0.25">
      <c r="A31" s="6"/>
      <c r="B31" s="3"/>
      <c r="C31" s="3"/>
      <c r="D31" s="5" t="str">
        <f>IF($B31="","",IFERROR(INDEX(Products!$D$5:$D$51,MATCH($B31,Products!$A$5:$A$51,0)),""))</f>
        <v/>
      </c>
      <c r="E31" s="5" t="str">
        <f>IF($B31="","",IFERROR(INDEX(Products!$C$5:$C$51,MATCH($B31,Products!$A$5:$A$51,0)),""))</f>
        <v/>
      </c>
      <c r="F31" s="5" t="str">
        <f t="shared" si="0"/>
        <v/>
      </c>
      <c r="G31" s="5" t="str">
        <f t="shared" si="1"/>
        <v/>
      </c>
      <c r="H31" s="5" t="str">
        <f t="shared" si="2"/>
        <v/>
      </c>
    </row>
    <row r="32" spans="1:8" x14ac:dyDescent="0.25">
      <c r="A32" s="6"/>
      <c r="B32" s="3"/>
      <c r="C32" s="3"/>
      <c r="D32" s="5" t="str">
        <f>IF($B32="","",IFERROR(INDEX(Products!$D$5:$D$51,MATCH($B32,Products!$A$5:$A$51,0)),""))</f>
        <v/>
      </c>
      <c r="E32" s="5" t="str">
        <f>IF($B32="","",IFERROR(INDEX(Products!$C$5:$C$51,MATCH($B32,Products!$A$5:$A$51,0)),""))</f>
        <v/>
      </c>
      <c r="F32" s="5" t="str">
        <f t="shared" si="0"/>
        <v/>
      </c>
      <c r="G32" s="5" t="str">
        <f t="shared" si="1"/>
        <v/>
      </c>
      <c r="H32" s="5" t="str">
        <f t="shared" si="2"/>
        <v/>
      </c>
    </row>
    <row r="33" spans="1:8" x14ac:dyDescent="0.25">
      <c r="A33" s="6"/>
      <c r="B33" s="3"/>
      <c r="C33" s="3"/>
      <c r="D33" s="5" t="str">
        <f>IF($B33="","",IFERROR(INDEX(Products!$D$5:$D$51,MATCH($B33,Products!$A$5:$A$51,0)),""))</f>
        <v/>
      </c>
      <c r="E33" s="5" t="str">
        <f>IF($B33="","",IFERROR(INDEX(Products!$C$5:$C$51,MATCH($B33,Products!$A$5:$A$51,0)),""))</f>
        <v/>
      </c>
      <c r="F33" s="5" t="str">
        <f t="shared" si="0"/>
        <v/>
      </c>
      <c r="G33" s="5" t="str">
        <f t="shared" si="1"/>
        <v/>
      </c>
      <c r="H33" s="5" t="str">
        <f t="shared" si="2"/>
        <v/>
      </c>
    </row>
    <row r="34" spans="1:8" x14ac:dyDescent="0.25">
      <c r="A34" s="6"/>
      <c r="B34" s="3"/>
      <c r="C34" s="3"/>
      <c r="D34" s="5" t="str">
        <f>IF($B34="","",IFERROR(INDEX(Products!$D$5:$D$51,MATCH($B34,Products!$A$5:$A$51,0)),""))</f>
        <v/>
      </c>
      <c r="E34" s="5" t="str">
        <f>IF($B34="","",IFERROR(INDEX(Products!$C$5:$C$51,MATCH($B34,Products!$A$5:$A$51,0)),""))</f>
        <v/>
      </c>
      <c r="F34" s="5" t="str">
        <f t="shared" si="0"/>
        <v/>
      </c>
      <c r="G34" s="5" t="str">
        <f t="shared" si="1"/>
        <v/>
      </c>
      <c r="H34" s="5" t="str">
        <f t="shared" si="2"/>
        <v/>
      </c>
    </row>
    <row r="35" spans="1:8" x14ac:dyDescent="0.25">
      <c r="A35" s="6"/>
      <c r="B35" s="3"/>
      <c r="C35" s="3"/>
      <c r="D35" s="5" t="str">
        <f>IF($B35="","",IFERROR(INDEX(Products!$D$5:$D$51,MATCH($B35,Products!$A$5:$A$51,0)),""))</f>
        <v/>
      </c>
      <c r="E35" s="5" t="str">
        <f>IF($B35="","",IFERROR(INDEX(Products!$C$5:$C$51,MATCH($B35,Products!$A$5:$A$51,0)),""))</f>
        <v/>
      </c>
      <c r="F35" s="5" t="str">
        <f t="shared" si="0"/>
        <v/>
      </c>
      <c r="G35" s="5" t="str">
        <f t="shared" si="1"/>
        <v/>
      </c>
      <c r="H35" s="5" t="str">
        <f t="shared" si="2"/>
        <v/>
      </c>
    </row>
    <row r="36" spans="1:8" x14ac:dyDescent="0.25">
      <c r="A36" s="6"/>
      <c r="B36" s="3"/>
      <c r="C36" s="3"/>
      <c r="D36" s="5" t="str">
        <f>IF($B36="","",IFERROR(INDEX(Products!$D$5:$D$51,MATCH($B36,Products!$A$5:$A$51,0)),""))</f>
        <v/>
      </c>
      <c r="E36" s="5" t="str">
        <f>IF($B36="","",IFERROR(INDEX(Products!$C$5:$C$51,MATCH($B36,Products!$A$5:$A$51,0)),""))</f>
        <v/>
      </c>
      <c r="F36" s="5" t="str">
        <f t="shared" si="0"/>
        <v/>
      </c>
      <c r="G36" s="5" t="str">
        <f t="shared" si="1"/>
        <v/>
      </c>
      <c r="H36" s="5" t="str">
        <f t="shared" si="2"/>
        <v/>
      </c>
    </row>
    <row r="37" spans="1:8" x14ac:dyDescent="0.25">
      <c r="A37" s="6"/>
      <c r="B37" s="3"/>
      <c r="C37" s="3"/>
      <c r="D37" s="5" t="str">
        <f>IF($B37="","",IFERROR(INDEX(Products!$D$5:$D$51,MATCH($B37,Products!$A$5:$A$51,0)),""))</f>
        <v/>
      </c>
      <c r="E37" s="5" t="str">
        <f>IF($B37="","",IFERROR(INDEX(Products!$C$5:$C$51,MATCH($B37,Products!$A$5:$A$51,0)),""))</f>
        <v/>
      </c>
      <c r="F37" s="5" t="str">
        <f t="shared" si="0"/>
        <v/>
      </c>
      <c r="G37" s="5" t="str">
        <f t="shared" si="1"/>
        <v/>
      </c>
      <c r="H37" s="5" t="str">
        <f t="shared" si="2"/>
        <v/>
      </c>
    </row>
    <row r="38" spans="1:8" x14ac:dyDescent="0.25">
      <c r="A38" s="6"/>
      <c r="B38" s="3"/>
      <c r="C38" s="3"/>
      <c r="D38" s="5" t="str">
        <f>IF($B38="","",IFERROR(INDEX(Products!$D$5:$D$51,MATCH($B38,Products!$A$5:$A$51,0)),""))</f>
        <v/>
      </c>
      <c r="E38" s="5" t="str">
        <f>IF($B38="","",IFERROR(INDEX(Products!$C$5:$C$51,MATCH($B38,Products!$A$5:$A$51,0)),""))</f>
        <v/>
      </c>
      <c r="F38" s="5" t="str">
        <f t="shared" si="0"/>
        <v/>
      </c>
      <c r="G38" s="5" t="str">
        <f t="shared" si="1"/>
        <v/>
      </c>
      <c r="H38" s="5" t="str">
        <f t="shared" si="2"/>
        <v/>
      </c>
    </row>
    <row r="39" spans="1:8" x14ac:dyDescent="0.25">
      <c r="A39" s="6"/>
      <c r="B39" s="3"/>
      <c r="C39" s="3"/>
      <c r="D39" s="5" t="str">
        <f>IF($B39="","",IFERROR(INDEX(Products!$D$5:$D$51,MATCH($B39,Products!$A$5:$A$51,0)),""))</f>
        <v/>
      </c>
      <c r="E39" s="5" t="str">
        <f>IF($B39="","",IFERROR(INDEX(Products!$C$5:$C$51,MATCH($B39,Products!$A$5:$A$51,0)),""))</f>
        <v/>
      </c>
      <c r="F39" s="5" t="str">
        <f t="shared" si="0"/>
        <v/>
      </c>
      <c r="G39" s="5" t="str">
        <f t="shared" si="1"/>
        <v/>
      </c>
      <c r="H39" s="5" t="str">
        <f t="shared" si="2"/>
        <v/>
      </c>
    </row>
    <row r="40" spans="1:8" x14ac:dyDescent="0.25">
      <c r="A40" s="6"/>
      <c r="B40" s="3"/>
      <c r="C40" s="3"/>
      <c r="D40" s="5" t="str">
        <f>IF($B40="","",IFERROR(INDEX(Products!$D$5:$D$51,MATCH($B40,Products!$A$5:$A$51,0)),""))</f>
        <v/>
      </c>
      <c r="E40" s="5" t="str">
        <f>IF($B40="","",IFERROR(INDEX(Products!$C$5:$C$51,MATCH($B40,Products!$A$5:$A$51,0)),""))</f>
        <v/>
      </c>
      <c r="F40" s="5" t="str">
        <f t="shared" si="0"/>
        <v/>
      </c>
      <c r="G40" s="5" t="str">
        <f t="shared" si="1"/>
        <v/>
      </c>
      <c r="H40" s="5" t="str">
        <f t="shared" si="2"/>
        <v/>
      </c>
    </row>
    <row r="41" spans="1:8" x14ac:dyDescent="0.25">
      <c r="A41" s="6"/>
      <c r="B41" s="3"/>
      <c r="C41" s="3"/>
      <c r="D41" s="5" t="str">
        <f>IF($B41="","",IFERROR(INDEX(Products!$D$5:$D$51,MATCH($B41,Products!$A$5:$A$51,0)),""))</f>
        <v/>
      </c>
      <c r="E41" s="5" t="str">
        <f>IF($B41="","",IFERROR(INDEX(Products!$C$5:$C$51,MATCH($B41,Products!$A$5:$A$51,0)),""))</f>
        <v/>
      </c>
      <c r="F41" s="5" t="str">
        <f t="shared" si="0"/>
        <v/>
      </c>
      <c r="G41" s="5" t="str">
        <f t="shared" si="1"/>
        <v/>
      </c>
      <c r="H41" s="5" t="str">
        <f t="shared" si="2"/>
        <v/>
      </c>
    </row>
    <row r="42" spans="1:8" x14ac:dyDescent="0.25">
      <c r="A42" s="6"/>
      <c r="B42" s="3"/>
      <c r="C42" s="3"/>
      <c r="D42" s="5" t="str">
        <f>IF($B42="","",IFERROR(INDEX(Products!$D$5:$D$51,MATCH($B42,Products!$A$5:$A$51,0)),""))</f>
        <v/>
      </c>
      <c r="E42" s="5" t="str">
        <f>IF($B42="","",IFERROR(INDEX(Products!$C$5:$C$51,MATCH($B42,Products!$A$5:$A$51,0)),""))</f>
        <v/>
      </c>
      <c r="F42" s="5" t="str">
        <f t="shared" si="0"/>
        <v/>
      </c>
      <c r="G42" s="5" t="str">
        <f t="shared" si="1"/>
        <v/>
      </c>
      <c r="H42" s="5" t="str">
        <f t="shared" si="2"/>
        <v/>
      </c>
    </row>
    <row r="43" spans="1:8" x14ac:dyDescent="0.25">
      <c r="A43" s="6"/>
      <c r="B43" s="3"/>
      <c r="C43" s="3"/>
      <c r="D43" s="5" t="str">
        <f>IF($B43="","",IFERROR(INDEX(Products!$D$5:$D$51,MATCH($B43,Products!$A$5:$A$51,0)),""))</f>
        <v/>
      </c>
      <c r="E43" s="5" t="str">
        <f>IF($B43="","",IFERROR(INDEX(Products!$C$5:$C$51,MATCH($B43,Products!$A$5:$A$51,0)),""))</f>
        <v/>
      </c>
      <c r="F43" s="5" t="str">
        <f t="shared" si="0"/>
        <v/>
      </c>
      <c r="G43" s="5" t="str">
        <f t="shared" si="1"/>
        <v/>
      </c>
      <c r="H43" s="5" t="str">
        <f t="shared" si="2"/>
        <v/>
      </c>
    </row>
    <row r="44" spans="1:8" x14ac:dyDescent="0.25">
      <c r="A44" s="6"/>
      <c r="B44" s="3"/>
      <c r="C44" s="3"/>
      <c r="D44" s="5" t="str">
        <f>IF($B44="","",IFERROR(INDEX(Products!$D$5:$D$51,MATCH($B44,Products!$A$5:$A$51,0)),""))</f>
        <v/>
      </c>
      <c r="E44" s="5" t="str">
        <f>IF($B44="","",IFERROR(INDEX(Products!$C$5:$C$51,MATCH($B44,Products!$A$5:$A$51,0)),""))</f>
        <v/>
      </c>
      <c r="F44" s="5" t="str">
        <f t="shared" si="0"/>
        <v/>
      </c>
      <c r="G44" s="5" t="str">
        <f t="shared" si="1"/>
        <v/>
      </c>
      <c r="H44" s="5" t="str">
        <f t="shared" si="2"/>
        <v/>
      </c>
    </row>
    <row r="45" spans="1:8" x14ac:dyDescent="0.25">
      <c r="A45" s="6"/>
      <c r="B45" s="3"/>
      <c r="C45" s="3"/>
      <c r="D45" s="5" t="str">
        <f>IF($B45="","",IFERROR(INDEX(Products!$D$5:$D$51,MATCH($B45,Products!$A$5:$A$51,0)),""))</f>
        <v/>
      </c>
      <c r="E45" s="5" t="str">
        <f>IF($B45="","",IFERROR(INDEX(Products!$C$5:$C$51,MATCH($B45,Products!$A$5:$A$51,0)),""))</f>
        <v/>
      </c>
      <c r="F45" s="5" t="str">
        <f t="shared" si="0"/>
        <v/>
      </c>
      <c r="G45" s="5" t="str">
        <f t="shared" si="1"/>
        <v/>
      </c>
      <c r="H45" s="5" t="str">
        <f t="shared" si="2"/>
        <v/>
      </c>
    </row>
    <row r="46" spans="1:8" x14ac:dyDescent="0.25">
      <c r="A46" s="6"/>
      <c r="B46" s="3"/>
      <c r="C46" s="3"/>
      <c r="D46" s="5" t="str">
        <f>IF($B46="","",IFERROR(INDEX(Products!$D$5:$D$51,MATCH($B46,Products!$A$5:$A$51,0)),""))</f>
        <v/>
      </c>
      <c r="E46" s="5" t="str">
        <f>IF($B46="","",IFERROR(INDEX(Products!$C$5:$C$51,MATCH($B46,Products!$A$5:$A$51,0)),""))</f>
        <v/>
      </c>
      <c r="F46" s="5" t="str">
        <f t="shared" si="0"/>
        <v/>
      </c>
      <c r="G46" s="5" t="str">
        <f t="shared" si="1"/>
        <v/>
      </c>
      <c r="H46" s="5" t="str">
        <f t="shared" si="2"/>
        <v/>
      </c>
    </row>
    <row r="47" spans="1:8" x14ac:dyDescent="0.25">
      <c r="A47" s="6"/>
      <c r="B47" s="3"/>
      <c r="C47" s="3"/>
      <c r="D47" s="5" t="str">
        <f>IF($B47="","",IFERROR(INDEX(Products!$D$5:$D$51,MATCH($B47,Products!$A$5:$A$51,0)),""))</f>
        <v/>
      </c>
      <c r="E47" s="5" t="str">
        <f>IF($B47="","",IFERROR(INDEX(Products!$C$5:$C$51,MATCH($B47,Products!$A$5:$A$51,0)),""))</f>
        <v/>
      </c>
      <c r="F47" s="5" t="str">
        <f t="shared" si="0"/>
        <v/>
      </c>
      <c r="G47" s="5" t="str">
        <f t="shared" si="1"/>
        <v/>
      </c>
      <c r="H47" s="5" t="str">
        <f t="shared" si="2"/>
        <v/>
      </c>
    </row>
    <row r="48" spans="1:8" x14ac:dyDescent="0.25">
      <c r="A48" s="6"/>
      <c r="B48" s="3"/>
      <c r="C48" s="3"/>
      <c r="D48" s="5" t="str">
        <f>IF($B48="","",IFERROR(INDEX(Products!$D$5:$D$51,MATCH($B48,Products!$A$5:$A$51,0)),""))</f>
        <v/>
      </c>
      <c r="E48" s="5" t="str">
        <f>IF($B48="","",IFERROR(INDEX(Products!$C$5:$C$51,MATCH($B48,Products!$A$5:$A$51,0)),""))</f>
        <v/>
      </c>
      <c r="F48" s="5" t="str">
        <f t="shared" si="0"/>
        <v/>
      </c>
      <c r="G48" s="5" t="str">
        <f t="shared" si="1"/>
        <v/>
      </c>
      <c r="H48" s="5" t="str">
        <f t="shared" si="2"/>
        <v/>
      </c>
    </row>
    <row r="49" spans="1:8" x14ac:dyDescent="0.25">
      <c r="A49" s="6"/>
      <c r="B49" s="3"/>
      <c r="C49" s="3"/>
      <c r="D49" s="5" t="str">
        <f>IF($B49="","",IFERROR(INDEX(Products!$D$5:$D$51,MATCH($B49,Products!$A$5:$A$51,0)),""))</f>
        <v/>
      </c>
      <c r="E49" s="5" t="str">
        <f>IF($B49="","",IFERROR(INDEX(Products!$C$5:$C$51,MATCH($B49,Products!$A$5:$A$51,0)),""))</f>
        <v/>
      </c>
      <c r="F49" s="5" t="str">
        <f t="shared" si="0"/>
        <v/>
      </c>
      <c r="G49" s="5" t="str">
        <f t="shared" si="1"/>
        <v/>
      </c>
      <c r="H49" s="5" t="str">
        <f t="shared" si="2"/>
        <v/>
      </c>
    </row>
    <row r="50" spans="1:8" x14ac:dyDescent="0.25">
      <c r="A50" s="6"/>
      <c r="B50" s="3"/>
      <c r="C50" s="3"/>
      <c r="D50" s="5" t="str">
        <f>IF($B50="","",IFERROR(INDEX(Products!$D$5:$D$51,MATCH($B50,Products!$A$5:$A$51,0)),""))</f>
        <v/>
      </c>
      <c r="E50" s="5" t="str">
        <f>IF($B50="","",IFERROR(INDEX(Products!$C$5:$C$51,MATCH($B50,Products!$A$5:$A$51,0)),""))</f>
        <v/>
      </c>
      <c r="F50" s="5" t="str">
        <f t="shared" si="0"/>
        <v/>
      </c>
      <c r="G50" s="5" t="str">
        <f t="shared" si="1"/>
        <v/>
      </c>
      <c r="H50" s="5" t="str">
        <f t="shared" si="2"/>
        <v/>
      </c>
    </row>
    <row r="51" spans="1:8" x14ac:dyDescent="0.25">
      <c r="A51" s="6"/>
      <c r="B51" s="3"/>
      <c r="C51" s="3"/>
      <c r="D51" s="5" t="str">
        <f>IF($B51="","",IFERROR(INDEX(Products!$D$5:$D$51,MATCH($B51,Products!$A$5:$A$51,0)),""))</f>
        <v/>
      </c>
      <c r="E51" s="5" t="str">
        <f>IF($B51="","",IFERROR(INDEX(Products!$C$5:$C$51,MATCH($B51,Products!$A$5:$A$51,0)),""))</f>
        <v/>
      </c>
      <c r="F51" s="5" t="str">
        <f t="shared" si="0"/>
        <v/>
      </c>
      <c r="G51" s="5" t="str">
        <f t="shared" si="1"/>
        <v/>
      </c>
      <c r="H51" s="5" t="str">
        <f t="shared" si="2"/>
        <v/>
      </c>
    </row>
    <row r="52" spans="1:8" x14ac:dyDescent="0.25">
      <c r="A52" s="6"/>
      <c r="B52" s="3"/>
      <c r="C52" s="3"/>
      <c r="D52" s="5" t="str">
        <f>IF($B52="","",IFERROR(INDEX(Products!$D$5:$D$51,MATCH($B52,Products!$A$5:$A$51,0)),""))</f>
        <v/>
      </c>
      <c r="E52" s="5" t="str">
        <f>IF($B52="","",IFERROR(INDEX(Products!$C$5:$C$51,MATCH($B52,Products!$A$5:$A$51,0)),""))</f>
        <v/>
      </c>
      <c r="F52" s="5" t="str">
        <f t="shared" si="0"/>
        <v/>
      </c>
      <c r="G52" s="5" t="str">
        <f t="shared" si="1"/>
        <v/>
      </c>
      <c r="H52" s="5" t="str">
        <f t="shared" si="2"/>
        <v/>
      </c>
    </row>
    <row r="53" spans="1:8" x14ac:dyDescent="0.25">
      <c r="A53" s="6"/>
      <c r="B53" s="3"/>
      <c r="C53" s="3"/>
      <c r="D53" s="5" t="str">
        <f>IF($B53="","",IFERROR(INDEX(Products!$D$5:$D$51,MATCH($B53,Products!$A$5:$A$51,0)),""))</f>
        <v/>
      </c>
      <c r="E53" s="5" t="str">
        <f>IF($B53="","",IFERROR(INDEX(Products!$C$5:$C$51,MATCH($B53,Products!$A$5:$A$51,0)),""))</f>
        <v/>
      </c>
      <c r="F53" s="5" t="str">
        <f t="shared" si="0"/>
        <v/>
      </c>
      <c r="G53" s="5" t="str">
        <f t="shared" si="1"/>
        <v/>
      </c>
      <c r="H53" s="5" t="str">
        <f t="shared" si="2"/>
        <v/>
      </c>
    </row>
    <row r="54" spans="1:8" x14ac:dyDescent="0.25">
      <c r="A54" s="6"/>
      <c r="B54" s="3"/>
      <c r="C54" s="3"/>
      <c r="D54" s="5" t="str">
        <f>IF($B54="","",IFERROR(INDEX(Products!$D$5:$D$51,MATCH($B54,Products!$A$5:$A$51,0)),""))</f>
        <v/>
      </c>
      <c r="E54" s="5" t="str">
        <f>IF($B54="","",IFERROR(INDEX(Products!$C$5:$C$51,MATCH($B54,Products!$A$5:$A$51,0)),""))</f>
        <v/>
      </c>
      <c r="F54" s="5" t="str">
        <f t="shared" si="0"/>
        <v/>
      </c>
      <c r="G54" s="5" t="str">
        <f t="shared" si="1"/>
        <v/>
      </c>
      <c r="H54" s="5" t="str">
        <f t="shared" si="2"/>
        <v/>
      </c>
    </row>
    <row r="55" spans="1:8" x14ac:dyDescent="0.25">
      <c r="A55" s="6"/>
      <c r="B55" s="3"/>
      <c r="C55" s="3"/>
      <c r="D55" s="5" t="str">
        <f>IF($B55="","",IFERROR(INDEX(Products!$D$5:$D$51,MATCH($B55,Products!$A$5:$A$51,0)),""))</f>
        <v/>
      </c>
      <c r="E55" s="5" t="str">
        <f>IF($B55="","",IFERROR(INDEX(Products!$C$5:$C$51,MATCH($B55,Products!$A$5:$A$51,0)),""))</f>
        <v/>
      </c>
      <c r="F55" s="5" t="str">
        <f t="shared" si="0"/>
        <v/>
      </c>
      <c r="G55" s="5" t="str">
        <f t="shared" si="1"/>
        <v/>
      </c>
      <c r="H55" s="5" t="str">
        <f t="shared" si="2"/>
        <v/>
      </c>
    </row>
    <row r="56" spans="1:8" x14ac:dyDescent="0.25">
      <c r="A56" s="6"/>
      <c r="B56" s="3"/>
      <c r="C56" s="3"/>
      <c r="D56" s="5" t="str">
        <f>IF($B56="","",IFERROR(INDEX(Products!$D$5:$D$51,MATCH($B56,Products!$A$5:$A$51,0)),""))</f>
        <v/>
      </c>
      <c r="E56" s="5" t="str">
        <f>IF($B56="","",IFERROR(INDEX(Products!$C$5:$C$51,MATCH($B56,Products!$A$5:$A$51,0)),""))</f>
        <v/>
      </c>
      <c r="F56" s="5" t="str">
        <f t="shared" si="0"/>
        <v/>
      </c>
      <c r="G56" s="5" t="str">
        <f t="shared" si="1"/>
        <v/>
      </c>
      <c r="H56" s="5" t="str">
        <f t="shared" si="2"/>
        <v/>
      </c>
    </row>
    <row r="57" spans="1:8" x14ac:dyDescent="0.25">
      <c r="A57" s="6"/>
      <c r="B57" s="3"/>
      <c r="C57" s="3"/>
      <c r="D57" s="5" t="str">
        <f>IF($B57="","",IFERROR(INDEX(Products!$D$5:$D$51,MATCH($B57,Products!$A$5:$A$51,0)),""))</f>
        <v/>
      </c>
      <c r="E57" s="5" t="str">
        <f>IF($B57="","",IFERROR(INDEX(Products!$C$5:$C$51,MATCH($B57,Products!$A$5:$A$51,0)),""))</f>
        <v/>
      </c>
      <c r="F57" s="5" t="str">
        <f t="shared" si="0"/>
        <v/>
      </c>
      <c r="G57" s="5" t="str">
        <f t="shared" si="1"/>
        <v/>
      </c>
      <c r="H57" s="5" t="str">
        <f t="shared" si="2"/>
        <v/>
      </c>
    </row>
    <row r="58" spans="1:8" x14ac:dyDescent="0.25">
      <c r="A58" s="6"/>
      <c r="B58" s="3"/>
      <c r="C58" s="3"/>
      <c r="D58" s="5" t="str">
        <f>IF($B58="","",IFERROR(INDEX(Products!$D$5:$D$51,MATCH($B58,Products!$A$5:$A$51,0)),""))</f>
        <v/>
      </c>
      <c r="E58" s="5" t="str">
        <f>IF($B58="","",IFERROR(INDEX(Products!$C$5:$C$51,MATCH($B58,Products!$A$5:$A$51,0)),""))</f>
        <v/>
      </c>
      <c r="F58" s="5" t="str">
        <f t="shared" si="0"/>
        <v/>
      </c>
      <c r="G58" s="5" t="str">
        <f t="shared" si="1"/>
        <v/>
      </c>
      <c r="H58" s="5" t="str">
        <f t="shared" si="2"/>
        <v/>
      </c>
    </row>
    <row r="59" spans="1:8" x14ac:dyDescent="0.25">
      <c r="A59" s="6"/>
      <c r="B59" s="3"/>
      <c r="C59" s="3"/>
      <c r="D59" s="5" t="str">
        <f>IF($B59="","",IFERROR(INDEX(Products!$D$5:$D$51,MATCH($B59,Products!$A$5:$A$51,0)),""))</f>
        <v/>
      </c>
      <c r="E59" s="5" t="str">
        <f>IF($B59="","",IFERROR(INDEX(Products!$C$5:$C$51,MATCH($B59,Products!$A$5:$A$51,0)),""))</f>
        <v/>
      </c>
      <c r="F59" s="5" t="str">
        <f t="shared" si="0"/>
        <v/>
      </c>
      <c r="G59" s="5" t="str">
        <f t="shared" si="1"/>
        <v/>
      </c>
      <c r="H59" s="5" t="str">
        <f t="shared" si="2"/>
        <v/>
      </c>
    </row>
    <row r="60" spans="1:8" x14ac:dyDescent="0.25">
      <c r="A60" s="6"/>
      <c r="B60" s="3"/>
      <c r="C60" s="3"/>
      <c r="D60" s="5" t="str">
        <f>IF($B60="","",IFERROR(INDEX(Products!$D$5:$D$51,MATCH($B60,Products!$A$5:$A$51,0)),""))</f>
        <v/>
      </c>
      <c r="E60" s="5" t="str">
        <f>IF($B60="","",IFERROR(INDEX(Products!$C$5:$C$51,MATCH($B60,Products!$A$5:$A$51,0)),""))</f>
        <v/>
      </c>
      <c r="F60" s="5" t="str">
        <f t="shared" si="0"/>
        <v/>
      </c>
      <c r="G60" s="5" t="str">
        <f t="shared" si="1"/>
        <v/>
      </c>
      <c r="H60" s="5" t="str">
        <f t="shared" si="2"/>
        <v/>
      </c>
    </row>
    <row r="61" spans="1:8" x14ac:dyDescent="0.25">
      <c r="A61" s="6"/>
      <c r="B61" s="3"/>
      <c r="C61" s="3"/>
      <c r="D61" s="5" t="str">
        <f>IF($B61="","",IFERROR(INDEX(Products!$D$5:$D$51,MATCH($B61,Products!$A$5:$A$51,0)),""))</f>
        <v/>
      </c>
      <c r="E61" s="5" t="str">
        <f>IF($B61="","",IFERROR(INDEX(Products!$C$5:$C$51,MATCH($B61,Products!$A$5:$A$51,0)),""))</f>
        <v/>
      </c>
      <c r="F61" s="5" t="str">
        <f t="shared" si="0"/>
        <v/>
      </c>
      <c r="G61" s="5" t="str">
        <f t="shared" si="1"/>
        <v/>
      </c>
      <c r="H61" s="5" t="str">
        <f t="shared" si="2"/>
        <v/>
      </c>
    </row>
    <row r="62" spans="1:8" x14ac:dyDescent="0.25">
      <c r="A62" s="6"/>
      <c r="B62" s="3"/>
      <c r="C62" s="3"/>
      <c r="D62" s="5" t="str">
        <f>IF($B62="","",IFERROR(INDEX(Products!$D$5:$D$51,MATCH($B62,Products!$A$5:$A$51,0)),""))</f>
        <v/>
      </c>
      <c r="E62" s="5" t="str">
        <f>IF($B62="","",IFERROR(INDEX(Products!$C$5:$C$51,MATCH($B62,Products!$A$5:$A$51,0)),""))</f>
        <v/>
      </c>
      <c r="F62" s="5" t="str">
        <f t="shared" si="0"/>
        <v/>
      </c>
      <c r="G62" s="5" t="str">
        <f t="shared" si="1"/>
        <v/>
      </c>
      <c r="H62" s="5" t="str">
        <f t="shared" si="2"/>
        <v/>
      </c>
    </row>
    <row r="63" spans="1:8" x14ac:dyDescent="0.25">
      <c r="A63" s="6"/>
      <c r="B63" s="3"/>
      <c r="C63" s="3"/>
      <c r="D63" s="5" t="str">
        <f>IF($B63="","",IFERROR(INDEX(Products!$D$5:$D$51,MATCH($B63,Products!$A$5:$A$51,0)),""))</f>
        <v/>
      </c>
      <c r="E63" s="5" t="str">
        <f>IF($B63="","",IFERROR(INDEX(Products!$C$5:$C$51,MATCH($B63,Products!$A$5:$A$51,0)),""))</f>
        <v/>
      </c>
      <c r="F63" s="5" t="str">
        <f t="shared" si="0"/>
        <v/>
      </c>
      <c r="G63" s="5" t="str">
        <f t="shared" si="1"/>
        <v/>
      </c>
      <c r="H63" s="5" t="str">
        <f t="shared" si="2"/>
        <v/>
      </c>
    </row>
    <row r="64" spans="1:8" x14ac:dyDescent="0.25">
      <c r="A64" s="6"/>
      <c r="B64" s="3"/>
      <c r="C64" s="3"/>
      <c r="D64" s="5" t="str">
        <f>IF($B64="","",IFERROR(INDEX(Products!$D$5:$D$51,MATCH($B64,Products!$A$5:$A$51,0)),""))</f>
        <v/>
      </c>
      <c r="E64" s="5" t="str">
        <f>IF($B64="","",IFERROR(INDEX(Products!$C$5:$C$51,MATCH($B64,Products!$A$5:$A$51,0)),""))</f>
        <v/>
      </c>
      <c r="F64" s="5" t="str">
        <f t="shared" si="0"/>
        <v/>
      </c>
      <c r="G64" s="5" t="str">
        <f t="shared" si="1"/>
        <v/>
      </c>
      <c r="H64" s="5" t="str">
        <f t="shared" si="2"/>
        <v/>
      </c>
    </row>
    <row r="65" spans="1:8" x14ac:dyDescent="0.25">
      <c r="A65" s="6"/>
      <c r="B65" s="3"/>
      <c r="C65" s="3"/>
      <c r="D65" s="5" t="str">
        <f>IF($B65="","",IFERROR(INDEX(Products!$D$5:$D$51,MATCH($B65,Products!$A$5:$A$51,0)),""))</f>
        <v/>
      </c>
      <c r="E65" s="5" t="str">
        <f>IF($B65="","",IFERROR(INDEX(Products!$C$5:$C$51,MATCH($B65,Products!$A$5:$A$51,0)),""))</f>
        <v/>
      </c>
      <c r="F65" s="5" t="str">
        <f t="shared" si="0"/>
        <v/>
      </c>
      <c r="G65" s="5" t="str">
        <f t="shared" si="1"/>
        <v/>
      </c>
      <c r="H65" s="5" t="str">
        <f t="shared" si="2"/>
        <v/>
      </c>
    </row>
    <row r="66" spans="1:8" x14ac:dyDescent="0.25">
      <c r="A66" s="6"/>
      <c r="B66" s="3"/>
      <c r="C66" s="3"/>
      <c r="D66" s="5" t="str">
        <f>IF($B66="","",IFERROR(INDEX(Products!$D$5:$D$51,MATCH($B66,Products!$A$5:$A$51,0)),""))</f>
        <v/>
      </c>
      <c r="E66" s="5" t="str">
        <f>IF($B66="","",IFERROR(INDEX(Products!$C$5:$C$51,MATCH($B66,Products!$A$5:$A$51,0)),""))</f>
        <v/>
      </c>
      <c r="F66" s="5" t="str">
        <f t="shared" si="0"/>
        <v/>
      </c>
      <c r="G66" s="5" t="str">
        <f t="shared" si="1"/>
        <v/>
      </c>
      <c r="H66" s="5" t="str">
        <f t="shared" si="2"/>
        <v/>
      </c>
    </row>
    <row r="67" spans="1:8" x14ac:dyDescent="0.25">
      <c r="A67" s="6"/>
      <c r="B67" s="3"/>
      <c r="C67" s="3"/>
      <c r="D67" s="5" t="str">
        <f>IF($B67="","",IFERROR(INDEX(Products!$D$5:$D$51,MATCH($B67,Products!$A$5:$A$51,0)),""))</f>
        <v/>
      </c>
      <c r="E67" s="5" t="str">
        <f>IF($B67="","",IFERROR(INDEX(Products!$C$5:$C$51,MATCH($B67,Products!$A$5:$A$51,0)),""))</f>
        <v/>
      </c>
      <c r="F67" s="5" t="str">
        <f t="shared" si="0"/>
        <v/>
      </c>
      <c r="G67" s="5" t="str">
        <f t="shared" si="1"/>
        <v/>
      </c>
      <c r="H67" s="5" t="str">
        <f t="shared" si="2"/>
        <v/>
      </c>
    </row>
    <row r="68" spans="1:8" x14ac:dyDescent="0.25">
      <c r="A68" s="6"/>
      <c r="B68" s="3"/>
      <c r="C68" s="3"/>
      <c r="D68" s="5" t="str">
        <f>IF($B68="","",IFERROR(INDEX(Products!$D$5:$D$51,MATCH($B68,Products!$A$5:$A$51,0)),""))</f>
        <v/>
      </c>
      <c r="E68" s="5" t="str">
        <f>IF($B68="","",IFERROR(INDEX(Products!$C$5:$C$51,MATCH($B68,Products!$A$5:$A$51,0)),""))</f>
        <v/>
      </c>
      <c r="F68" s="5" t="str">
        <f t="shared" si="0"/>
        <v/>
      </c>
      <c r="G68" s="5" t="str">
        <f t="shared" si="1"/>
        <v/>
      </c>
      <c r="H68" s="5" t="str">
        <f t="shared" si="2"/>
        <v/>
      </c>
    </row>
    <row r="69" spans="1:8" x14ac:dyDescent="0.25">
      <c r="A69" s="6"/>
      <c r="B69" s="3"/>
      <c r="C69" s="3"/>
      <c r="D69" s="5" t="str">
        <f>IF($B69="","",IFERROR(INDEX(Products!$D$5:$D$51,MATCH($B69,Products!$A$5:$A$51,0)),""))</f>
        <v/>
      </c>
      <c r="E69" s="5" t="str">
        <f>IF($B69="","",IFERROR(INDEX(Products!$C$5:$C$51,MATCH($B69,Products!$A$5:$A$51,0)),""))</f>
        <v/>
      </c>
      <c r="F69" s="5" t="str">
        <f t="shared" ref="F69:F132" si="3">IF($B69="","",$C69*$D69)</f>
        <v/>
      </c>
      <c r="G69" s="5" t="str">
        <f t="shared" ref="G69:G132" si="4">IF($B69="","",$C69*$E69)</f>
        <v/>
      </c>
      <c r="H69" s="5" t="str">
        <f t="shared" ref="H69:H132" si="5">IF($B69="","",$F69-$G69)</f>
        <v/>
      </c>
    </row>
    <row r="70" spans="1:8" x14ac:dyDescent="0.25">
      <c r="A70" s="6"/>
      <c r="B70" s="3"/>
      <c r="C70" s="3"/>
      <c r="D70" s="5" t="str">
        <f>IF($B70="","",IFERROR(INDEX(Products!$D$5:$D$51,MATCH($B70,Products!$A$5:$A$51,0)),""))</f>
        <v/>
      </c>
      <c r="E70" s="5" t="str">
        <f>IF($B70="","",IFERROR(INDEX(Products!$C$5:$C$51,MATCH($B70,Products!$A$5:$A$51,0)),""))</f>
        <v/>
      </c>
      <c r="F70" s="5" t="str">
        <f t="shared" si="3"/>
        <v/>
      </c>
      <c r="G70" s="5" t="str">
        <f t="shared" si="4"/>
        <v/>
      </c>
      <c r="H70" s="5" t="str">
        <f t="shared" si="5"/>
        <v/>
      </c>
    </row>
    <row r="71" spans="1:8" x14ac:dyDescent="0.25">
      <c r="A71" s="6"/>
      <c r="B71" s="3"/>
      <c r="C71" s="3"/>
      <c r="D71" s="5" t="str">
        <f>IF($B71="","",IFERROR(INDEX(Products!$D$5:$D$51,MATCH($B71,Products!$A$5:$A$51,0)),""))</f>
        <v/>
      </c>
      <c r="E71" s="5" t="str">
        <f>IF($B71="","",IFERROR(INDEX(Products!$C$5:$C$51,MATCH($B71,Products!$A$5:$A$51,0)),""))</f>
        <v/>
      </c>
      <c r="F71" s="5" t="str">
        <f t="shared" si="3"/>
        <v/>
      </c>
      <c r="G71" s="5" t="str">
        <f t="shared" si="4"/>
        <v/>
      </c>
      <c r="H71" s="5" t="str">
        <f t="shared" si="5"/>
        <v/>
      </c>
    </row>
    <row r="72" spans="1:8" x14ac:dyDescent="0.25">
      <c r="A72" s="6"/>
      <c r="B72" s="3"/>
      <c r="C72" s="3"/>
      <c r="D72" s="5" t="str">
        <f>IF($B72="","",IFERROR(INDEX(Products!$D$5:$D$51,MATCH($B72,Products!$A$5:$A$51,0)),""))</f>
        <v/>
      </c>
      <c r="E72" s="5" t="str">
        <f>IF($B72="","",IFERROR(INDEX(Products!$C$5:$C$51,MATCH($B72,Products!$A$5:$A$51,0)),""))</f>
        <v/>
      </c>
      <c r="F72" s="5" t="str">
        <f t="shared" si="3"/>
        <v/>
      </c>
      <c r="G72" s="5" t="str">
        <f t="shared" si="4"/>
        <v/>
      </c>
      <c r="H72" s="5" t="str">
        <f t="shared" si="5"/>
        <v/>
      </c>
    </row>
    <row r="73" spans="1:8" x14ac:dyDescent="0.25">
      <c r="A73" s="6"/>
      <c r="B73" s="3"/>
      <c r="C73" s="3"/>
      <c r="D73" s="5" t="str">
        <f>IF($B73="","",IFERROR(INDEX(Products!$D$5:$D$51,MATCH($B73,Products!$A$5:$A$51,0)),""))</f>
        <v/>
      </c>
      <c r="E73" s="5" t="str">
        <f>IF($B73="","",IFERROR(INDEX(Products!$C$5:$C$51,MATCH($B73,Products!$A$5:$A$51,0)),""))</f>
        <v/>
      </c>
      <c r="F73" s="5" t="str">
        <f t="shared" si="3"/>
        <v/>
      </c>
      <c r="G73" s="5" t="str">
        <f t="shared" si="4"/>
        <v/>
      </c>
      <c r="H73" s="5" t="str">
        <f t="shared" si="5"/>
        <v/>
      </c>
    </row>
    <row r="74" spans="1:8" x14ac:dyDescent="0.25">
      <c r="A74" s="6"/>
      <c r="B74" s="3"/>
      <c r="C74" s="3"/>
      <c r="D74" s="5" t="str">
        <f>IF($B74="","",IFERROR(INDEX(Products!$D$5:$D$51,MATCH($B74,Products!$A$5:$A$51,0)),""))</f>
        <v/>
      </c>
      <c r="E74" s="5" t="str">
        <f>IF($B74="","",IFERROR(INDEX(Products!$C$5:$C$51,MATCH($B74,Products!$A$5:$A$51,0)),""))</f>
        <v/>
      </c>
      <c r="F74" s="5" t="str">
        <f t="shared" si="3"/>
        <v/>
      </c>
      <c r="G74" s="5" t="str">
        <f t="shared" si="4"/>
        <v/>
      </c>
      <c r="H74" s="5" t="str">
        <f t="shared" si="5"/>
        <v/>
      </c>
    </row>
    <row r="75" spans="1:8" x14ac:dyDescent="0.25">
      <c r="A75" s="6"/>
      <c r="B75" s="3"/>
      <c r="C75" s="3"/>
      <c r="D75" s="5" t="str">
        <f>IF($B75="","",IFERROR(INDEX(Products!$D$5:$D$51,MATCH($B75,Products!$A$5:$A$51,0)),""))</f>
        <v/>
      </c>
      <c r="E75" s="5" t="str">
        <f>IF($B75="","",IFERROR(INDEX(Products!$C$5:$C$51,MATCH($B75,Products!$A$5:$A$51,0)),""))</f>
        <v/>
      </c>
      <c r="F75" s="5" t="str">
        <f t="shared" si="3"/>
        <v/>
      </c>
      <c r="G75" s="5" t="str">
        <f t="shared" si="4"/>
        <v/>
      </c>
      <c r="H75" s="5" t="str">
        <f t="shared" si="5"/>
        <v/>
      </c>
    </row>
    <row r="76" spans="1:8" x14ac:dyDescent="0.25">
      <c r="A76" s="6"/>
      <c r="B76" s="3"/>
      <c r="C76" s="3"/>
      <c r="D76" s="5" t="str">
        <f>IF($B76="","",IFERROR(INDEX(Products!$D$5:$D$51,MATCH($B76,Products!$A$5:$A$51,0)),""))</f>
        <v/>
      </c>
      <c r="E76" s="5" t="str">
        <f>IF($B76="","",IFERROR(INDEX(Products!$C$5:$C$51,MATCH($B76,Products!$A$5:$A$51,0)),""))</f>
        <v/>
      </c>
      <c r="F76" s="5" t="str">
        <f t="shared" si="3"/>
        <v/>
      </c>
      <c r="G76" s="5" t="str">
        <f t="shared" si="4"/>
        <v/>
      </c>
      <c r="H76" s="5" t="str">
        <f t="shared" si="5"/>
        <v/>
      </c>
    </row>
    <row r="77" spans="1:8" x14ac:dyDescent="0.25">
      <c r="A77" s="6"/>
      <c r="B77" s="3"/>
      <c r="C77" s="3"/>
      <c r="D77" s="5" t="str">
        <f>IF($B77="","",IFERROR(INDEX(Products!$D$5:$D$51,MATCH($B77,Products!$A$5:$A$51,0)),""))</f>
        <v/>
      </c>
      <c r="E77" s="5" t="str">
        <f>IF($B77="","",IFERROR(INDEX(Products!$C$5:$C$51,MATCH($B77,Products!$A$5:$A$51,0)),""))</f>
        <v/>
      </c>
      <c r="F77" s="5" t="str">
        <f t="shared" si="3"/>
        <v/>
      </c>
      <c r="G77" s="5" t="str">
        <f t="shared" si="4"/>
        <v/>
      </c>
      <c r="H77" s="5" t="str">
        <f t="shared" si="5"/>
        <v/>
      </c>
    </row>
    <row r="78" spans="1:8" x14ac:dyDescent="0.25">
      <c r="A78" s="6"/>
      <c r="B78" s="3"/>
      <c r="C78" s="3"/>
      <c r="D78" s="5" t="str">
        <f>IF($B78="","",IFERROR(INDEX(Products!$D$5:$D$51,MATCH($B78,Products!$A$5:$A$51,0)),""))</f>
        <v/>
      </c>
      <c r="E78" s="5" t="str">
        <f>IF($B78="","",IFERROR(INDEX(Products!$C$5:$C$51,MATCH($B78,Products!$A$5:$A$51,0)),""))</f>
        <v/>
      </c>
      <c r="F78" s="5" t="str">
        <f t="shared" si="3"/>
        <v/>
      </c>
      <c r="G78" s="5" t="str">
        <f t="shared" si="4"/>
        <v/>
      </c>
      <c r="H78" s="5" t="str">
        <f t="shared" si="5"/>
        <v/>
      </c>
    </row>
    <row r="79" spans="1:8" x14ac:dyDescent="0.25">
      <c r="A79" s="6"/>
      <c r="B79" s="3"/>
      <c r="C79" s="3"/>
      <c r="D79" s="5" t="str">
        <f>IF($B79="","",IFERROR(INDEX(Products!$D$5:$D$51,MATCH($B79,Products!$A$5:$A$51,0)),""))</f>
        <v/>
      </c>
      <c r="E79" s="5" t="str">
        <f>IF($B79="","",IFERROR(INDEX(Products!$C$5:$C$51,MATCH($B79,Products!$A$5:$A$51,0)),""))</f>
        <v/>
      </c>
      <c r="F79" s="5" t="str">
        <f t="shared" si="3"/>
        <v/>
      </c>
      <c r="G79" s="5" t="str">
        <f t="shared" si="4"/>
        <v/>
      </c>
      <c r="H79" s="5" t="str">
        <f t="shared" si="5"/>
        <v/>
      </c>
    </row>
    <row r="80" spans="1:8" x14ac:dyDescent="0.25">
      <c r="A80" s="6"/>
      <c r="B80" s="3"/>
      <c r="C80" s="3"/>
      <c r="D80" s="5" t="str">
        <f>IF($B80="","",IFERROR(INDEX(Products!$D$5:$D$51,MATCH($B80,Products!$A$5:$A$51,0)),""))</f>
        <v/>
      </c>
      <c r="E80" s="5" t="str">
        <f>IF($B80="","",IFERROR(INDEX(Products!$C$5:$C$51,MATCH($B80,Products!$A$5:$A$51,0)),""))</f>
        <v/>
      </c>
      <c r="F80" s="5" t="str">
        <f t="shared" si="3"/>
        <v/>
      </c>
      <c r="G80" s="5" t="str">
        <f t="shared" si="4"/>
        <v/>
      </c>
      <c r="H80" s="5" t="str">
        <f t="shared" si="5"/>
        <v/>
      </c>
    </row>
    <row r="81" spans="1:8" x14ac:dyDescent="0.25">
      <c r="A81" s="6"/>
      <c r="B81" s="3"/>
      <c r="C81" s="3"/>
      <c r="D81" s="5" t="str">
        <f>IF($B81="","",IFERROR(INDEX(Products!$D$5:$D$51,MATCH($B81,Products!$A$5:$A$51,0)),""))</f>
        <v/>
      </c>
      <c r="E81" s="5" t="str">
        <f>IF($B81="","",IFERROR(INDEX(Products!$C$5:$C$51,MATCH($B81,Products!$A$5:$A$51,0)),""))</f>
        <v/>
      </c>
      <c r="F81" s="5" t="str">
        <f t="shared" si="3"/>
        <v/>
      </c>
      <c r="G81" s="5" t="str">
        <f t="shared" si="4"/>
        <v/>
      </c>
      <c r="H81" s="5" t="str">
        <f t="shared" si="5"/>
        <v/>
      </c>
    </row>
    <row r="82" spans="1:8" x14ac:dyDescent="0.25">
      <c r="A82" s="6"/>
      <c r="B82" s="3"/>
      <c r="C82" s="3"/>
      <c r="D82" s="5" t="str">
        <f>IF($B82="","",IFERROR(INDEX(Products!$D$5:$D$51,MATCH($B82,Products!$A$5:$A$51,0)),""))</f>
        <v/>
      </c>
      <c r="E82" s="5" t="str">
        <f>IF($B82="","",IFERROR(INDEX(Products!$C$5:$C$51,MATCH($B82,Products!$A$5:$A$51,0)),""))</f>
        <v/>
      </c>
      <c r="F82" s="5" t="str">
        <f t="shared" si="3"/>
        <v/>
      </c>
      <c r="G82" s="5" t="str">
        <f t="shared" si="4"/>
        <v/>
      </c>
      <c r="H82" s="5" t="str">
        <f t="shared" si="5"/>
        <v/>
      </c>
    </row>
    <row r="83" spans="1:8" x14ac:dyDescent="0.25">
      <c r="A83" s="6"/>
      <c r="B83" s="3"/>
      <c r="C83" s="3"/>
      <c r="D83" s="5" t="str">
        <f>IF($B83="","",IFERROR(INDEX(Products!$D$5:$D$51,MATCH($B83,Products!$A$5:$A$51,0)),""))</f>
        <v/>
      </c>
      <c r="E83" s="5" t="str">
        <f>IF($B83="","",IFERROR(INDEX(Products!$C$5:$C$51,MATCH($B83,Products!$A$5:$A$51,0)),""))</f>
        <v/>
      </c>
      <c r="F83" s="5" t="str">
        <f t="shared" si="3"/>
        <v/>
      </c>
      <c r="G83" s="5" t="str">
        <f t="shared" si="4"/>
        <v/>
      </c>
      <c r="H83" s="5" t="str">
        <f t="shared" si="5"/>
        <v/>
      </c>
    </row>
    <row r="84" spans="1:8" x14ac:dyDescent="0.25">
      <c r="A84" s="6"/>
      <c r="B84" s="3"/>
      <c r="C84" s="3"/>
      <c r="D84" s="5" t="str">
        <f>IF($B84="","",IFERROR(INDEX(Products!$D$5:$D$51,MATCH($B84,Products!$A$5:$A$51,0)),""))</f>
        <v/>
      </c>
      <c r="E84" s="5" t="str">
        <f>IF($B84="","",IFERROR(INDEX(Products!$C$5:$C$51,MATCH($B84,Products!$A$5:$A$51,0)),""))</f>
        <v/>
      </c>
      <c r="F84" s="5" t="str">
        <f t="shared" si="3"/>
        <v/>
      </c>
      <c r="G84" s="5" t="str">
        <f t="shared" si="4"/>
        <v/>
      </c>
      <c r="H84" s="5" t="str">
        <f t="shared" si="5"/>
        <v/>
      </c>
    </row>
    <row r="85" spans="1:8" x14ac:dyDescent="0.25">
      <c r="A85" s="6"/>
      <c r="B85" s="3"/>
      <c r="C85" s="3"/>
      <c r="D85" s="5" t="str">
        <f>IF($B85="","",IFERROR(INDEX(Products!$D$5:$D$51,MATCH($B85,Products!$A$5:$A$51,0)),""))</f>
        <v/>
      </c>
      <c r="E85" s="5" t="str">
        <f>IF($B85="","",IFERROR(INDEX(Products!$C$5:$C$51,MATCH($B85,Products!$A$5:$A$51,0)),""))</f>
        <v/>
      </c>
      <c r="F85" s="5" t="str">
        <f t="shared" si="3"/>
        <v/>
      </c>
      <c r="G85" s="5" t="str">
        <f t="shared" si="4"/>
        <v/>
      </c>
      <c r="H85" s="5" t="str">
        <f t="shared" si="5"/>
        <v/>
      </c>
    </row>
    <row r="86" spans="1:8" x14ac:dyDescent="0.25">
      <c r="A86" s="6"/>
      <c r="B86" s="3"/>
      <c r="C86" s="3"/>
      <c r="D86" s="5" t="str">
        <f>IF($B86="","",IFERROR(INDEX(Products!$D$5:$D$51,MATCH($B86,Products!$A$5:$A$51,0)),""))</f>
        <v/>
      </c>
      <c r="E86" s="5" t="str">
        <f>IF($B86="","",IFERROR(INDEX(Products!$C$5:$C$51,MATCH($B86,Products!$A$5:$A$51,0)),""))</f>
        <v/>
      </c>
      <c r="F86" s="5" t="str">
        <f t="shared" si="3"/>
        <v/>
      </c>
      <c r="G86" s="5" t="str">
        <f t="shared" si="4"/>
        <v/>
      </c>
      <c r="H86" s="5" t="str">
        <f t="shared" si="5"/>
        <v/>
      </c>
    </row>
    <row r="87" spans="1:8" x14ac:dyDescent="0.25">
      <c r="A87" s="6"/>
      <c r="B87" s="3"/>
      <c r="C87" s="3"/>
      <c r="D87" s="5" t="str">
        <f>IF($B87="","",IFERROR(INDEX(Products!$D$5:$D$51,MATCH($B87,Products!$A$5:$A$51,0)),""))</f>
        <v/>
      </c>
      <c r="E87" s="5" t="str">
        <f>IF($B87="","",IFERROR(INDEX(Products!$C$5:$C$51,MATCH($B87,Products!$A$5:$A$51,0)),""))</f>
        <v/>
      </c>
      <c r="F87" s="5" t="str">
        <f t="shared" si="3"/>
        <v/>
      </c>
      <c r="G87" s="5" t="str">
        <f t="shared" si="4"/>
        <v/>
      </c>
      <c r="H87" s="5" t="str">
        <f t="shared" si="5"/>
        <v/>
      </c>
    </row>
    <row r="88" spans="1:8" x14ac:dyDescent="0.25">
      <c r="A88" s="6"/>
      <c r="B88" s="3"/>
      <c r="C88" s="3"/>
      <c r="D88" s="5" t="str">
        <f>IF($B88="","",IFERROR(INDEX(Products!$D$5:$D$51,MATCH($B88,Products!$A$5:$A$51,0)),""))</f>
        <v/>
      </c>
      <c r="E88" s="5" t="str">
        <f>IF($B88="","",IFERROR(INDEX(Products!$C$5:$C$51,MATCH($B88,Products!$A$5:$A$51,0)),""))</f>
        <v/>
      </c>
      <c r="F88" s="5" t="str">
        <f t="shared" si="3"/>
        <v/>
      </c>
      <c r="G88" s="5" t="str">
        <f t="shared" si="4"/>
        <v/>
      </c>
      <c r="H88" s="5" t="str">
        <f t="shared" si="5"/>
        <v/>
      </c>
    </row>
    <row r="89" spans="1:8" x14ac:dyDescent="0.25">
      <c r="A89" s="6"/>
      <c r="B89" s="3"/>
      <c r="C89" s="3"/>
      <c r="D89" s="5" t="str">
        <f>IF($B89="","",IFERROR(INDEX(Products!$D$5:$D$51,MATCH($B89,Products!$A$5:$A$51,0)),""))</f>
        <v/>
      </c>
      <c r="E89" s="5" t="str">
        <f>IF($B89="","",IFERROR(INDEX(Products!$C$5:$C$51,MATCH($B89,Products!$A$5:$A$51,0)),""))</f>
        <v/>
      </c>
      <c r="F89" s="5" t="str">
        <f t="shared" si="3"/>
        <v/>
      </c>
      <c r="G89" s="5" t="str">
        <f t="shared" si="4"/>
        <v/>
      </c>
      <c r="H89" s="5" t="str">
        <f t="shared" si="5"/>
        <v/>
      </c>
    </row>
    <row r="90" spans="1:8" x14ac:dyDescent="0.25">
      <c r="A90" s="6"/>
      <c r="B90" s="3"/>
      <c r="C90" s="3"/>
      <c r="D90" s="5" t="str">
        <f>IF($B90="","",IFERROR(INDEX(Products!$D$5:$D$51,MATCH($B90,Products!$A$5:$A$51,0)),""))</f>
        <v/>
      </c>
      <c r="E90" s="5" t="str">
        <f>IF($B90="","",IFERROR(INDEX(Products!$C$5:$C$51,MATCH($B90,Products!$A$5:$A$51,0)),""))</f>
        <v/>
      </c>
      <c r="F90" s="5" t="str">
        <f t="shared" si="3"/>
        <v/>
      </c>
      <c r="G90" s="5" t="str">
        <f t="shared" si="4"/>
        <v/>
      </c>
      <c r="H90" s="5" t="str">
        <f t="shared" si="5"/>
        <v/>
      </c>
    </row>
    <row r="91" spans="1:8" x14ac:dyDescent="0.25">
      <c r="A91" s="6"/>
      <c r="B91" s="3"/>
      <c r="C91" s="3"/>
      <c r="D91" s="5" t="str">
        <f>IF($B91="","",IFERROR(INDEX(Products!$D$5:$D$51,MATCH($B91,Products!$A$5:$A$51,0)),""))</f>
        <v/>
      </c>
      <c r="E91" s="5" t="str">
        <f>IF($B91="","",IFERROR(INDEX(Products!$C$5:$C$51,MATCH($B91,Products!$A$5:$A$51,0)),""))</f>
        <v/>
      </c>
      <c r="F91" s="5" t="str">
        <f t="shared" si="3"/>
        <v/>
      </c>
      <c r="G91" s="5" t="str">
        <f t="shared" si="4"/>
        <v/>
      </c>
      <c r="H91" s="5" t="str">
        <f t="shared" si="5"/>
        <v/>
      </c>
    </row>
    <row r="92" spans="1:8" x14ac:dyDescent="0.25">
      <c r="A92" s="6"/>
      <c r="B92" s="3"/>
      <c r="C92" s="3"/>
      <c r="D92" s="5" t="str">
        <f>IF($B92="","",IFERROR(INDEX(Products!$D$5:$D$51,MATCH($B92,Products!$A$5:$A$51,0)),""))</f>
        <v/>
      </c>
      <c r="E92" s="5" t="str">
        <f>IF($B92="","",IFERROR(INDEX(Products!$C$5:$C$51,MATCH($B92,Products!$A$5:$A$51,0)),""))</f>
        <v/>
      </c>
      <c r="F92" s="5" t="str">
        <f t="shared" si="3"/>
        <v/>
      </c>
      <c r="G92" s="5" t="str">
        <f t="shared" si="4"/>
        <v/>
      </c>
      <c r="H92" s="5" t="str">
        <f t="shared" si="5"/>
        <v/>
      </c>
    </row>
    <row r="93" spans="1:8" x14ac:dyDescent="0.25">
      <c r="A93" s="6"/>
      <c r="B93" s="3"/>
      <c r="C93" s="3"/>
      <c r="D93" s="5" t="str">
        <f>IF($B93="","",IFERROR(INDEX(Products!$D$5:$D$51,MATCH($B93,Products!$A$5:$A$51,0)),""))</f>
        <v/>
      </c>
      <c r="E93" s="5" t="str">
        <f>IF($B93="","",IFERROR(INDEX(Products!$C$5:$C$51,MATCH($B93,Products!$A$5:$A$51,0)),""))</f>
        <v/>
      </c>
      <c r="F93" s="5" t="str">
        <f t="shared" si="3"/>
        <v/>
      </c>
      <c r="G93" s="5" t="str">
        <f t="shared" si="4"/>
        <v/>
      </c>
      <c r="H93" s="5" t="str">
        <f t="shared" si="5"/>
        <v/>
      </c>
    </row>
    <row r="94" spans="1:8" x14ac:dyDescent="0.25">
      <c r="A94" s="6"/>
      <c r="B94" s="3"/>
      <c r="C94" s="3"/>
      <c r="D94" s="5" t="str">
        <f>IF($B94="","",IFERROR(INDEX(Products!$D$5:$D$51,MATCH($B94,Products!$A$5:$A$51,0)),""))</f>
        <v/>
      </c>
      <c r="E94" s="5" t="str">
        <f>IF($B94="","",IFERROR(INDEX(Products!$C$5:$C$51,MATCH($B94,Products!$A$5:$A$51,0)),""))</f>
        <v/>
      </c>
      <c r="F94" s="5" t="str">
        <f t="shared" si="3"/>
        <v/>
      </c>
      <c r="G94" s="5" t="str">
        <f t="shared" si="4"/>
        <v/>
      </c>
      <c r="H94" s="5" t="str">
        <f t="shared" si="5"/>
        <v/>
      </c>
    </row>
    <row r="95" spans="1:8" x14ac:dyDescent="0.25">
      <c r="A95" s="6"/>
      <c r="B95" s="3"/>
      <c r="C95" s="3"/>
      <c r="D95" s="5" t="str">
        <f>IF($B95="","",IFERROR(INDEX(Products!$D$5:$D$51,MATCH($B95,Products!$A$5:$A$51,0)),""))</f>
        <v/>
      </c>
      <c r="E95" s="5" t="str">
        <f>IF($B95="","",IFERROR(INDEX(Products!$C$5:$C$51,MATCH($B95,Products!$A$5:$A$51,0)),""))</f>
        <v/>
      </c>
      <c r="F95" s="5" t="str">
        <f t="shared" si="3"/>
        <v/>
      </c>
      <c r="G95" s="5" t="str">
        <f t="shared" si="4"/>
        <v/>
      </c>
      <c r="H95" s="5" t="str">
        <f t="shared" si="5"/>
        <v/>
      </c>
    </row>
    <row r="96" spans="1:8" x14ac:dyDescent="0.25">
      <c r="A96" s="6"/>
      <c r="B96" s="3"/>
      <c r="C96" s="3"/>
      <c r="D96" s="5" t="str">
        <f>IF($B96="","",IFERROR(INDEX(Products!$D$5:$D$51,MATCH($B96,Products!$A$5:$A$51,0)),""))</f>
        <v/>
      </c>
      <c r="E96" s="5" t="str">
        <f>IF($B96="","",IFERROR(INDEX(Products!$C$5:$C$51,MATCH($B96,Products!$A$5:$A$51,0)),""))</f>
        <v/>
      </c>
      <c r="F96" s="5" t="str">
        <f t="shared" si="3"/>
        <v/>
      </c>
      <c r="G96" s="5" t="str">
        <f t="shared" si="4"/>
        <v/>
      </c>
      <c r="H96" s="5" t="str">
        <f t="shared" si="5"/>
        <v/>
      </c>
    </row>
    <row r="97" spans="1:8" x14ac:dyDescent="0.25">
      <c r="A97" s="6"/>
      <c r="B97" s="3"/>
      <c r="C97" s="3"/>
      <c r="D97" s="5" t="str">
        <f>IF($B97="","",IFERROR(INDEX(Products!$D$5:$D$51,MATCH($B97,Products!$A$5:$A$51,0)),""))</f>
        <v/>
      </c>
      <c r="E97" s="5" t="str">
        <f>IF($B97="","",IFERROR(INDEX(Products!$C$5:$C$51,MATCH($B97,Products!$A$5:$A$51,0)),""))</f>
        <v/>
      </c>
      <c r="F97" s="5" t="str">
        <f t="shared" si="3"/>
        <v/>
      </c>
      <c r="G97" s="5" t="str">
        <f t="shared" si="4"/>
        <v/>
      </c>
      <c r="H97" s="5" t="str">
        <f t="shared" si="5"/>
        <v/>
      </c>
    </row>
    <row r="98" spans="1:8" x14ac:dyDescent="0.25">
      <c r="A98" s="6"/>
      <c r="B98" s="3"/>
      <c r="C98" s="3"/>
      <c r="D98" s="5" t="str">
        <f>IF($B98="","",IFERROR(INDEX(Products!$D$5:$D$51,MATCH($B98,Products!$A$5:$A$51,0)),""))</f>
        <v/>
      </c>
      <c r="E98" s="5" t="str">
        <f>IF($B98="","",IFERROR(INDEX(Products!$C$5:$C$51,MATCH($B98,Products!$A$5:$A$51,0)),""))</f>
        <v/>
      </c>
      <c r="F98" s="5" t="str">
        <f t="shared" si="3"/>
        <v/>
      </c>
      <c r="G98" s="5" t="str">
        <f t="shared" si="4"/>
        <v/>
      </c>
      <c r="H98" s="5" t="str">
        <f t="shared" si="5"/>
        <v/>
      </c>
    </row>
    <row r="99" spans="1:8" x14ac:dyDescent="0.25">
      <c r="A99" s="6"/>
      <c r="B99" s="3"/>
      <c r="C99" s="3"/>
      <c r="D99" s="5" t="str">
        <f>IF($B99="","",IFERROR(INDEX(Products!$D$5:$D$51,MATCH($B99,Products!$A$5:$A$51,0)),""))</f>
        <v/>
      </c>
      <c r="E99" s="5" t="str">
        <f>IF($B99="","",IFERROR(INDEX(Products!$C$5:$C$51,MATCH($B99,Products!$A$5:$A$51,0)),""))</f>
        <v/>
      </c>
      <c r="F99" s="5" t="str">
        <f t="shared" si="3"/>
        <v/>
      </c>
      <c r="G99" s="5" t="str">
        <f t="shared" si="4"/>
        <v/>
      </c>
      <c r="H99" s="5" t="str">
        <f t="shared" si="5"/>
        <v/>
      </c>
    </row>
    <row r="100" spans="1:8" x14ac:dyDescent="0.25">
      <c r="A100" s="6"/>
      <c r="B100" s="3"/>
      <c r="C100" s="3"/>
      <c r="D100" s="5" t="str">
        <f>IF($B100="","",IFERROR(INDEX(Products!$D$5:$D$51,MATCH($B100,Products!$A$5:$A$51,0)),""))</f>
        <v/>
      </c>
      <c r="E100" s="5" t="str">
        <f>IF($B100="","",IFERROR(INDEX(Products!$C$5:$C$51,MATCH($B100,Products!$A$5:$A$51,0)),""))</f>
        <v/>
      </c>
      <c r="F100" s="5" t="str">
        <f t="shared" si="3"/>
        <v/>
      </c>
      <c r="G100" s="5" t="str">
        <f t="shared" si="4"/>
        <v/>
      </c>
      <c r="H100" s="5" t="str">
        <f t="shared" si="5"/>
        <v/>
      </c>
    </row>
    <row r="101" spans="1:8" x14ac:dyDescent="0.25">
      <c r="A101" s="6"/>
      <c r="B101" s="3"/>
      <c r="C101" s="3"/>
      <c r="D101" s="5" t="str">
        <f>IF($B101="","",IFERROR(INDEX(Products!$D$5:$D$51,MATCH($B101,Products!$A$5:$A$51,0)),""))</f>
        <v/>
      </c>
      <c r="E101" s="5" t="str">
        <f>IF($B101="","",IFERROR(INDEX(Products!$C$5:$C$51,MATCH($B101,Products!$A$5:$A$51,0)),""))</f>
        <v/>
      </c>
      <c r="F101" s="5" t="str">
        <f t="shared" si="3"/>
        <v/>
      </c>
      <c r="G101" s="5" t="str">
        <f t="shared" si="4"/>
        <v/>
      </c>
      <c r="H101" s="5" t="str">
        <f t="shared" si="5"/>
        <v/>
      </c>
    </row>
    <row r="102" spans="1:8" x14ac:dyDescent="0.25">
      <c r="A102" s="6"/>
      <c r="B102" s="3"/>
      <c r="C102" s="3"/>
      <c r="D102" s="5" t="str">
        <f>IF($B102="","",IFERROR(INDEX(Products!$D$5:$D$51,MATCH($B102,Products!$A$5:$A$51,0)),""))</f>
        <v/>
      </c>
      <c r="E102" s="5" t="str">
        <f>IF($B102="","",IFERROR(INDEX(Products!$C$5:$C$51,MATCH($B102,Products!$A$5:$A$51,0)),""))</f>
        <v/>
      </c>
      <c r="F102" s="5" t="str">
        <f t="shared" si="3"/>
        <v/>
      </c>
      <c r="G102" s="5" t="str">
        <f t="shared" si="4"/>
        <v/>
      </c>
      <c r="H102" s="5" t="str">
        <f t="shared" si="5"/>
        <v/>
      </c>
    </row>
    <row r="103" spans="1:8" x14ac:dyDescent="0.25">
      <c r="A103" s="6"/>
      <c r="B103" s="3"/>
      <c r="C103" s="3"/>
      <c r="D103" s="5" t="str">
        <f>IF($B103="","",IFERROR(INDEX(Products!$D$5:$D$51,MATCH($B103,Products!$A$5:$A$51,0)),""))</f>
        <v/>
      </c>
      <c r="E103" s="5" t="str">
        <f>IF($B103="","",IFERROR(INDEX(Products!$C$5:$C$51,MATCH($B103,Products!$A$5:$A$51,0)),""))</f>
        <v/>
      </c>
      <c r="F103" s="5" t="str">
        <f t="shared" si="3"/>
        <v/>
      </c>
      <c r="G103" s="5" t="str">
        <f t="shared" si="4"/>
        <v/>
      </c>
      <c r="H103" s="5" t="str">
        <f t="shared" si="5"/>
        <v/>
      </c>
    </row>
    <row r="104" spans="1:8" x14ac:dyDescent="0.25">
      <c r="A104" s="6"/>
      <c r="B104" s="3"/>
      <c r="C104" s="3"/>
      <c r="D104" s="5" t="str">
        <f>IF($B104="","",IFERROR(INDEX(Products!$D$5:$D$51,MATCH($B104,Products!$A$5:$A$51,0)),""))</f>
        <v/>
      </c>
      <c r="E104" s="5" t="str">
        <f>IF($B104="","",IFERROR(INDEX(Products!$C$5:$C$51,MATCH($B104,Products!$A$5:$A$51,0)),""))</f>
        <v/>
      </c>
      <c r="F104" s="5" t="str">
        <f t="shared" si="3"/>
        <v/>
      </c>
      <c r="G104" s="5" t="str">
        <f t="shared" si="4"/>
        <v/>
      </c>
      <c r="H104" s="5" t="str">
        <f t="shared" si="5"/>
        <v/>
      </c>
    </row>
    <row r="105" spans="1:8" x14ac:dyDescent="0.25">
      <c r="A105" s="6"/>
      <c r="B105" s="3"/>
      <c r="C105" s="3"/>
      <c r="D105" s="5" t="str">
        <f>IF($B105="","",IFERROR(INDEX(Products!$D$5:$D$51,MATCH($B105,Products!$A$5:$A$51,0)),""))</f>
        <v/>
      </c>
      <c r="E105" s="5" t="str">
        <f>IF($B105="","",IFERROR(INDEX(Products!$C$5:$C$51,MATCH($B105,Products!$A$5:$A$51,0)),""))</f>
        <v/>
      </c>
      <c r="F105" s="5" t="str">
        <f t="shared" si="3"/>
        <v/>
      </c>
      <c r="G105" s="5" t="str">
        <f t="shared" si="4"/>
        <v/>
      </c>
      <c r="H105" s="5" t="str">
        <f t="shared" si="5"/>
        <v/>
      </c>
    </row>
    <row r="106" spans="1:8" x14ac:dyDescent="0.25">
      <c r="A106" s="6"/>
      <c r="B106" s="3"/>
      <c r="C106" s="3"/>
      <c r="D106" s="5" t="str">
        <f>IF($B106="","",IFERROR(INDEX(Products!$D$5:$D$51,MATCH($B106,Products!$A$5:$A$51,0)),""))</f>
        <v/>
      </c>
      <c r="E106" s="5" t="str">
        <f>IF($B106="","",IFERROR(INDEX(Products!$C$5:$C$51,MATCH($B106,Products!$A$5:$A$51,0)),""))</f>
        <v/>
      </c>
      <c r="F106" s="5" t="str">
        <f t="shared" si="3"/>
        <v/>
      </c>
      <c r="G106" s="5" t="str">
        <f t="shared" si="4"/>
        <v/>
      </c>
      <c r="H106" s="5" t="str">
        <f t="shared" si="5"/>
        <v/>
      </c>
    </row>
    <row r="107" spans="1:8" x14ac:dyDescent="0.25">
      <c r="A107" s="6"/>
      <c r="B107" s="3"/>
      <c r="C107" s="3"/>
      <c r="D107" s="5" t="str">
        <f>IF($B107="","",IFERROR(INDEX(Products!$D$5:$D$51,MATCH($B107,Products!$A$5:$A$51,0)),""))</f>
        <v/>
      </c>
      <c r="E107" s="5" t="str">
        <f>IF($B107="","",IFERROR(INDEX(Products!$C$5:$C$51,MATCH($B107,Products!$A$5:$A$51,0)),""))</f>
        <v/>
      </c>
      <c r="F107" s="5" t="str">
        <f t="shared" si="3"/>
        <v/>
      </c>
      <c r="G107" s="5" t="str">
        <f t="shared" si="4"/>
        <v/>
      </c>
      <c r="H107" s="5" t="str">
        <f t="shared" si="5"/>
        <v/>
      </c>
    </row>
    <row r="108" spans="1:8" x14ac:dyDescent="0.25">
      <c r="A108" s="6"/>
      <c r="B108" s="3"/>
      <c r="C108" s="3"/>
      <c r="D108" s="5" t="str">
        <f>IF($B108="","",IFERROR(INDEX(Products!$D$5:$D$51,MATCH($B108,Products!$A$5:$A$51,0)),""))</f>
        <v/>
      </c>
      <c r="E108" s="5" t="str">
        <f>IF($B108="","",IFERROR(INDEX(Products!$C$5:$C$51,MATCH($B108,Products!$A$5:$A$51,0)),""))</f>
        <v/>
      </c>
      <c r="F108" s="5" t="str">
        <f t="shared" si="3"/>
        <v/>
      </c>
      <c r="G108" s="5" t="str">
        <f t="shared" si="4"/>
        <v/>
      </c>
      <c r="H108" s="5" t="str">
        <f t="shared" si="5"/>
        <v/>
      </c>
    </row>
    <row r="109" spans="1:8" x14ac:dyDescent="0.25">
      <c r="A109" s="6"/>
      <c r="B109" s="3"/>
      <c r="C109" s="3"/>
      <c r="D109" s="5" t="str">
        <f>IF($B109="","",IFERROR(INDEX(Products!$D$5:$D$51,MATCH($B109,Products!$A$5:$A$51,0)),""))</f>
        <v/>
      </c>
      <c r="E109" s="5" t="str">
        <f>IF($B109="","",IFERROR(INDEX(Products!$C$5:$C$51,MATCH($B109,Products!$A$5:$A$51,0)),""))</f>
        <v/>
      </c>
      <c r="F109" s="5" t="str">
        <f t="shared" si="3"/>
        <v/>
      </c>
      <c r="G109" s="5" t="str">
        <f t="shared" si="4"/>
        <v/>
      </c>
      <c r="H109" s="5" t="str">
        <f t="shared" si="5"/>
        <v/>
      </c>
    </row>
    <row r="110" spans="1:8" x14ac:dyDescent="0.25">
      <c r="A110" s="6"/>
      <c r="B110" s="3"/>
      <c r="C110" s="3"/>
      <c r="D110" s="5" t="str">
        <f>IF($B110="","",IFERROR(INDEX(Products!$D$5:$D$51,MATCH($B110,Products!$A$5:$A$51,0)),""))</f>
        <v/>
      </c>
      <c r="E110" s="5" t="str">
        <f>IF($B110="","",IFERROR(INDEX(Products!$C$5:$C$51,MATCH($B110,Products!$A$5:$A$51,0)),""))</f>
        <v/>
      </c>
      <c r="F110" s="5" t="str">
        <f t="shared" si="3"/>
        <v/>
      </c>
      <c r="G110" s="5" t="str">
        <f t="shared" si="4"/>
        <v/>
      </c>
      <c r="H110" s="5" t="str">
        <f t="shared" si="5"/>
        <v/>
      </c>
    </row>
    <row r="111" spans="1:8" x14ac:dyDescent="0.25">
      <c r="A111" s="6"/>
      <c r="B111" s="3"/>
      <c r="C111" s="3"/>
      <c r="D111" s="5" t="str">
        <f>IF($B111="","",IFERROR(INDEX(Products!$D$5:$D$51,MATCH($B111,Products!$A$5:$A$51,0)),""))</f>
        <v/>
      </c>
      <c r="E111" s="5" t="str">
        <f>IF($B111="","",IFERROR(INDEX(Products!$C$5:$C$51,MATCH($B111,Products!$A$5:$A$51,0)),""))</f>
        <v/>
      </c>
      <c r="F111" s="5" t="str">
        <f t="shared" si="3"/>
        <v/>
      </c>
      <c r="G111" s="5" t="str">
        <f t="shared" si="4"/>
        <v/>
      </c>
      <c r="H111" s="5" t="str">
        <f t="shared" si="5"/>
        <v/>
      </c>
    </row>
    <row r="112" spans="1:8" x14ac:dyDescent="0.25">
      <c r="A112" s="6"/>
      <c r="B112" s="3"/>
      <c r="C112" s="3"/>
      <c r="D112" s="5" t="str">
        <f>IF($B112="","",IFERROR(INDEX(Products!$D$5:$D$51,MATCH($B112,Products!$A$5:$A$51,0)),""))</f>
        <v/>
      </c>
      <c r="E112" s="5" t="str">
        <f>IF($B112="","",IFERROR(INDEX(Products!$C$5:$C$51,MATCH($B112,Products!$A$5:$A$51,0)),""))</f>
        <v/>
      </c>
      <c r="F112" s="5" t="str">
        <f t="shared" si="3"/>
        <v/>
      </c>
      <c r="G112" s="5" t="str">
        <f t="shared" si="4"/>
        <v/>
      </c>
      <c r="H112" s="5" t="str">
        <f t="shared" si="5"/>
        <v/>
      </c>
    </row>
    <row r="113" spans="1:8" x14ac:dyDescent="0.25">
      <c r="A113" s="6"/>
      <c r="B113" s="3"/>
      <c r="C113" s="3"/>
      <c r="D113" s="5" t="str">
        <f>IF($B113="","",IFERROR(INDEX(Products!$D$5:$D$51,MATCH($B113,Products!$A$5:$A$51,0)),""))</f>
        <v/>
      </c>
      <c r="E113" s="5" t="str">
        <f>IF($B113="","",IFERROR(INDEX(Products!$C$5:$C$51,MATCH($B113,Products!$A$5:$A$51,0)),""))</f>
        <v/>
      </c>
      <c r="F113" s="5" t="str">
        <f t="shared" si="3"/>
        <v/>
      </c>
      <c r="G113" s="5" t="str">
        <f t="shared" si="4"/>
        <v/>
      </c>
      <c r="H113" s="5" t="str">
        <f t="shared" si="5"/>
        <v/>
      </c>
    </row>
    <row r="114" spans="1:8" x14ac:dyDescent="0.25">
      <c r="A114" s="6"/>
      <c r="B114" s="3"/>
      <c r="C114" s="3"/>
      <c r="D114" s="5" t="str">
        <f>IF($B114="","",IFERROR(INDEX(Products!$D$5:$D$51,MATCH($B114,Products!$A$5:$A$51,0)),""))</f>
        <v/>
      </c>
      <c r="E114" s="5" t="str">
        <f>IF($B114="","",IFERROR(INDEX(Products!$C$5:$C$51,MATCH($B114,Products!$A$5:$A$51,0)),""))</f>
        <v/>
      </c>
      <c r="F114" s="5" t="str">
        <f t="shared" si="3"/>
        <v/>
      </c>
      <c r="G114" s="5" t="str">
        <f t="shared" si="4"/>
        <v/>
      </c>
      <c r="H114" s="5" t="str">
        <f t="shared" si="5"/>
        <v/>
      </c>
    </row>
    <row r="115" spans="1:8" x14ac:dyDescent="0.25">
      <c r="A115" s="6"/>
      <c r="B115" s="3"/>
      <c r="C115" s="3"/>
      <c r="D115" s="5" t="str">
        <f>IF($B115="","",IFERROR(INDEX(Products!$D$5:$D$51,MATCH($B115,Products!$A$5:$A$51,0)),""))</f>
        <v/>
      </c>
      <c r="E115" s="5" t="str">
        <f>IF($B115="","",IFERROR(INDEX(Products!$C$5:$C$51,MATCH($B115,Products!$A$5:$A$51,0)),""))</f>
        <v/>
      </c>
      <c r="F115" s="5" t="str">
        <f t="shared" si="3"/>
        <v/>
      </c>
      <c r="G115" s="5" t="str">
        <f t="shared" si="4"/>
        <v/>
      </c>
      <c r="H115" s="5" t="str">
        <f t="shared" si="5"/>
        <v/>
      </c>
    </row>
    <row r="116" spans="1:8" x14ac:dyDescent="0.25">
      <c r="A116" s="6"/>
      <c r="B116" s="3"/>
      <c r="C116" s="3"/>
      <c r="D116" s="5" t="str">
        <f>IF($B116="","",IFERROR(INDEX(Products!$D$5:$D$51,MATCH($B116,Products!$A$5:$A$51,0)),""))</f>
        <v/>
      </c>
      <c r="E116" s="5" t="str">
        <f>IF($B116="","",IFERROR(INDEX(Products!$C$5:$C$51,MATCH($B116,Products!$A$5:$A$51,0)),""))</f>
        <v/>
      </c>
      <c r="F116" s="5" t="str">
        <f t="shared" si="3"/>
        <v/>
      </c>
      <c r="G116" s="5" t="str">
        <f t="shared" si="4"/>
        <v/>
      </c>
      <c r="H116" s="5" t="str">
        <f t="shared" si="5"/>
        <v/>
      </c>
    </row>
    <row r="117" spans="1:8" x14ac:dyDescent="0.25">
      <c r="A117" s="6"/>
      <c r="B117" s="3"/>
      <c r="C117" s="3"/>
      <c r="D117" s="5" t="str">
        <f>IF($B117="","",IFERROR(INDEX(Products!$D$5:$D$51,MATCH($B117,Products!$A$5:$A$51,0)),""))</f>
        <v/>
      </c>
      <c r="E117" s="5" t="str">
        <f>IF($B117="","",IFERROR(INDEX(Products!$C$5:$C$51,MATCH($B117,Products!$A$5:$A$51,0)),""))</f>
        <v/>
      </c>
      <c r="F117" s="5" t="str">
        <f t="shared" si="3"/>
        <v/>
      </c>
      <c r="G117" s="5" t="str">
        <f t="shared" si="4"/>
        <v/>
      </c>
      <c r="H117" s="5" t="str">
        <f t="shared" si="5"/>
        <v/>
      </c>
    </row>
    <row r="118" spans="1:8" x14ac:dyDescent="0.25">
      <c r="A118" s="6"/>
      <c r="B118" s="3"/>
      <c r="C118" s="3"/>
      <c r="D118" s="5" t="str">
        <f>IF($B118="","",IFERROR(INDEX(Products!$D$5:$D$51,MATCH($B118,Products!$A$5:$A$51,0)),""))</f>
        <v/>
      </c>
      <c r="E118" s="5" t="str">
        <f>IF($B118="","",IFERROR(INDEX(Products!$C$5:$C$51,MATCH($B118,Products!$A$5:$A$51,0)),""))</f>
        <v/>
      </c>
      <c r="F118" s="5" t="str">
        <f t="shared" si="3"/>
        <v/>
      </c>
      <c r="G118" s="5" t="str">
        <f t="shared" si="4"/>
        <v/>
      </c>
      <c r="H118" s="5" t="str">
        <f t="shared" si="5"/>
        <v/>
      </c>
    </row>
    <row r="119" spans="1:8" x14ac:dyDescent="0.25">
      <c r="A119" s="6"/>
      <c r="B119" s="3"/>
      <c r="C119" s="3"/>
      <c r="D119" s="5" t="str">
        <f>IF($B119="","",IFERROR(INDEX(Products!$D$5:$D$51,MATCH($B119,Products!$A$5:$A$51,0)),""))</f>
        <v/>
      </c>
      <c r="E119" s="5" t="str">
        <f>IF($B119="","",IFERROR(INDEX(Products!$C$5:$C$51,MATCH($B119,Products!$A$5:$A$51,0)),""))</f>
        <v/>
      </c>
      <c r="F119" s="5" t="str">
        <f t="shared" si="3"/>
        <v/>
      </c>
      <c r="G119" s="5" t="str">
        <f t="shared" si="4"/>
        <v/>
      </c>
      <c r="H119" s="5" t="str">
        <f t="shared" si="5"/>
        <v/>
      </c>
    </row>
    <row r="120" spans="1:8" x14ac:dyDescent="0.25">
      <c r="A120" s="6"/>
      <c r="B120" s="3"/>
      <c r="C120" s="3"/>
      <c r="D120" s="5" t="str">
        <f>IF($B120="","",IFERROR(INDEX(Products!$D$5:$D$51,MATCH($B120,Products!$A$5:$A$51,0)),""))</f>
        <v/>
      </c>
      <c r="E120" s="5" t="str">
        <f>IF($B120="","",IFERROR(INDEX(Products!$C$5:$C$51,MATCH($B120,Products!$A$5:$A$51,0)),""))</f>
        <v/>
      </c>
      <c r="F120" s="5" t="str">
        <f t="shared" si="3"/>
        <v/>
      </c>
      <c r="G120" s="5" t="str">
        <f t="shared" si="4"/>
        <v/>
      </c>
      <c r="H120" s="5" t="str">
        <f t="shared" si="5"/>
        <v/>
      </c>
    </row>
    <row r="121" spans="1:8" x14ac:dyDescent="0.25">
      <c r="A121" s="6"/>
      <c r="B121" s="3"/>
      <c r="C121" s="3"/>
      <c r="D121" s="5" t="str">
        <f>IF($B121="","",IFERROR(INDEX(Products!$D$5:$D$51,MATCH($B121,Products!$A$5:$A$51,0)),""))</f>
        <v/>
      </c>
      <c r="E121" s="5" t="str">
        <f>IF($B121="","",IFERROR(INDEX(Products!$C$5:$C$51,MATCH($B121,Products!$A$5:$A$51,0)),""))</f>
        <v/>
      </c>
      <c r="F121" s="5" t="str">
        <f t="shared" si="3"/>
        <v/>
      </c>
      <c r="G121" s="5" t="str">
        <f t="shared" si="4"/>
        <v/>
      </c>
      <c r="H121" s="5" t="str">
        <f t="shared" si="5"/>
        <v/>
      </c>
    </row>
    <row r="122" spans="1:8" x14ac:dyDescent="0.25">
      <c r="A122" s="6"/>
      <c r="B122" s="3"/>
      <c r="C122" s="3"/>
      <c r="D122" s="5" t="str">
        <f>IF($B122="","",IFERROR(INDEX(Products!$D$5:$D$51,MATCH($B122,Products!$A$5:$A$51,0)),""))</f>
        <v/>
      </c>
      <c r="E122" s="5" t="str">
        <f>IF($B122="","",IFERROR(INDEX(Products!$C$5:$C$51,MATCH($B122,Products!$A$5:$A$51,0)),""))</f>
        <v/>
      </c>
      <c r="F122" s="5" t="str">
        <f t="shared" si="3"/>
        <v/>
      </c>
      <c r="G122" s="5" t="str">
        <f t="shared" si="4"/>
        <v/>
      </c>
      <c r="H122" s="5" t="str">
        <f t="shared" si="5"/>
        <v/>
      </c>
    </row>
    <row r="123" spans="1:8" x14ac:dyDescent="0.25">
      <c r="A123" s="6"/>
      <c r="B123" s="3"/>
      <c r="C123" s="3"/>
      <c r="D123" s="5" t="str">
        <f>IF($B123="","",IFERROR(INDEX(Products!$D$5:$D$51,MATCH($B123,Products!$A$5:$A$51,0)),""))</f>
        <v/>
      </c>
      <c r="E123" s="5" t="str">
        <f>IF($B123="","",IFERROR(INDEX(Products!$C$5:$C$51,MATCH($B123,Products!$A$5:$A$51,0)),""))</f>
        <v/>
      </c>
      <c r="F123" s="5" t="str">
        <f t="shared" si="3"/>
        <v/>
      </c>
      <c r="G123" s="5" t="str">
        <f t="shared" si="4"/>
        <v/>
      </c>
      <c r="H123" s="5" t="str">
        <f t="shared" si="5"/>
        <v/>
      </c>
    </row>
    <row r="124" spans="1:8" x14ac:dyDescent="0.25">
      <c r="A124" s="6"/>
      <c r="B124" s="3"/>
      <c r="C124" s="3"/>
      <c r="D124" s="5" t="str">
        <f>IF($B124="","",IFERROR(INDEX(Products!$D$5:$D$51,MATCH($B124,Products!$A$5:$A$51,0)),""))</f>
        <v/>
      </c>
      <c r="E124" s="5" t="str">
        <f>IF($B124="","",IFERROR(INDEX(Products!$C$5:$C$51,MATCH($B124,Products!$A$5:$A$51,0)),""))</f>
        <v/>
      </c>
      <c r="F124" s="5" t="str">
        <f t="shared" si="3"/>
        <v/>
      </c>
      <c r="G124" s="5" t="str">
        <f t="shared" si="4"/>
        <v/>
      </c>
      <c r="H124" s="5" t="str">
        <f t="shared" si="5"/>
        <v/>
      </c>
    </row>
    <row r="125" spans="1:8" x14ac:dyDescent="0.25">
      <c r="A125" s="6"/>
      <c r="B125" s="3"/>
      <c r="C125" s="3"/>
      <c r="D125" s="5" t="str">
        <f>IF($B125="","",IFERROR(INDEX(Products!$D$5:$D$51,MATCH($B125,Products!$A$5:$A$51,0)),""))</f>
        <v/>
      </c>
      <c r="E125" s="5" t="str">
        <f>IF($B125="","",IFERROR(INDEX(Products!$C$5:$C$51,MATCH($B125,Products!$A$5:$A$51,0)),""))</f>
        <v/>
      </c>
      <c r="F125" s="5" t="str">
        <f t="shared" si="3"/>
        <v/>
      </c>
      <c r="G125" s="5" t="str">
        <f t="shared" si="4"/>
        <v/>
      </c>
      <c r="H125" s="5" t="str">
        <f t="shared" si="5"/>
        <v/>
      </c>
    </row>
    <row r="126" spans="1:8" x14ac:dyDescent="0.25">
      <c r="A126" s="6"/>
      <c r="B126" s="3"/>
      <c r="C126" s="3"/>
      <c r="D126" s="5" t="str">
        <f>IF($B126="","",IFERROR(INDEX(Products!$D$5:$D$51,MATCH($B126,Products!$A$5:$A$51,0)),""))</f>
        <v/>
      </c>
      <c r="E126" s="5" t="str">
        <f>IF($B126="","",IFERROR(INDEX(Products!$C$5:$C$51,MATCH($B126,Products!$A$5:$A$51,0)),""))</f>
        <v/>
      </c>
      <c r="F126" s="5" t="str">
        <f t="shared" si="3"/>
        <v/>
      </c>
      <c r="G126" s="5" t="str">
        <f t="shared" si="4"/>
        <v/>
      </c>
      <c r="H126" s="5" t="str">
        <f t="shared" si="5"/>
        <v/>
      </c>
    </row>
    <row r="127" spans="1:8" x14ac:dyDescent="0.25">
      <c r="A127" s="6"/>
      <c r="B127" s="3"/>
      <c r="C127" s="3"/>
      <c r="D127" s="5" t="str">
        <f>IF($B127="","",IFERROR(INDEX(Products!$D$5:$D$51,MATCH($B127,Products!$A$5:$A$51,0)),""))</f>
        <v/>
      </c>
      <c r="E127" s="5" t="str">
        <f>IF($B127="","",IFERROR(INDEX(Products!$C$5:$C$51,MATCH($B127,Products!$A$5:$A$51,0)),""))</f>
        <v/>
      </c>
      <c r="F127" s="5" t="str">
        <f t="shared" si="3"/>
        <v/>
      </c>
      <c r="G127" s="5" t="str">
        <f t="shared" si="4"/>
        <v/>
      </c>
      <c r="H127" s="5" t="str">
        <f t="shared" si="5"/>
        <v/>
      </c>
    </row>
    <row r="128" spans="1:8" x14ac:dyDescent="0.25">
      <c r="A128" s="6"/>
      <c r="B128" s="3"/>
      <c r="C128" s="3"/>
      <c r="D128" s="5" t="str">
        <f>IF($B128="","",IFERROR(INDEX(Products!$D$5:$D$51,MATCH($B128,Products!$A$5:$A$51,0)),""))</f>
        <v/>
      </c>
      <c r="E128" s="5" t="str">
        <f>IF($B128="","",IFERROR(INDEX(Products!$C$5:$C$51,MATCH($B128,Products!$A$5:$A$51,0)),""))</f>
        <v/>
      </c>
      <c r="F128" s="5" t="str">
        <f t="shared" si="3"/>
        <v/>
      </c>
      <c r="G128" s="5" t="str">
        <f t="shared" si="4"/>
        <v/>
      </c>
      <c r="H128" s="5" t="str">
        <f t="shared" si="5"/>
        <v/>
      </c>
    </row>
    <row r="129" spans="1:8" x14ac:dyDescent="0.25">
      <c r="A129" s="6"/>
      <c r="B129" s="3"/>
      <c r="C129" s="3"/>
      <c r="D129" s="5" t="str">
        <f>IF($B129="","",IFERROR(INDEX(Products!$D$5:$D$51,MATCH($B129,Products!$A$5:$A$51,0)),""))</f>
        <v/>
      </c>
      <c r="E129" s="5" t="str">
        <f>IF($B129="","",IFERROR(INDEX(Products!$C$5:$C$51,MATCH($B129,Products!$A$5:$A$51,0)),""))</f>
        <v/>
      </c>
      <c r="F129" s="5" t="str">
        <f t="shared" si="3"/>
        <v/>
      </c>
      <c r="G129" s="5" t="str">
        <f t="shared" si="4"/>
        <v/>
      </c>
      <c r="H129" s="5" t="str">
        <f t="shared" si="5"/>
        <v/>
      </c>
    </row>
    <row r="130" spans="1:8" x14ac:dyDescent="0.25">
      <c r="A130" s="6"/>
      <c r="B130" s="3"/>
      <c r="C130" s="3"/>
      <c r="D130" s="5" t="str">
        <f>IF($B130="","",IFERROR(INDEX(Products!$D$5:$D$51,MATCH($B130,Products!$A$5:$A$51,0)),""))</f>
        <v/>
      </c>
      <c r="E130" s="5" t="str">
        <f>IF($B130="","",IFERROR(INDEX(Products!$C$5:$C$51,MATCH($B130,Products!$A$5:$A$51,0)),""))</f>
        <v/>
      </c>
      <c r="F130" s="5" t="str">
        <f t="shared" si="3"/>
        <v/>
      </c>
      <c r="G130" s="5" t="str">
        <f t="shared" si="4"/>
        <v/>
      </c>
      <c r="H130" s="5" t="str">
        <f t="shared" si="5"/>
        <v/>
      </c>
    </row>
    <row r="131" spans="1:8" x14ac:dyDescent="0.25">
      <c r="A131" s="6"/>
      <c r="B131" s="3"/>
      <c r="C131" s="3"/>
      <c r="D131" s="5" t="str">
        <f>IF($B131="","",IFERROR(INDEX(Products!$D$5:$D$51,MATCH($B131,Products!$A$5:$A$51,0)),""))</f>
        <v/>
      </c>
      <c r="E131" s="5" t="str">
        <f>IF($B131="","",IFERROR(INDEX(Products!$C$5:$C$51,MATCH($B131,Products!$A$5:$A$51,0)),""))</f>
        <v/>
      </c>
      <c r="F131" s="5" t="str">
        <f t="shared" si="3"/>
        <v/>
      </c>
      <c r="G131" s="5" t="str">
        <f t="shared" si="4"/>
        <v/>
      </c>
      <c r="H131" s="5" t="str">
        <f t="shared" si="5"/>
        <v/>
      </c>
    </row>
    <row r="132" spans="1:8" x14ac:dyDescent="0.25">
      <c r="A132" s="6"/>
      <c r="B132" s="3"/>
      <c r="C132" s="3"/>
      <c r="D132" s="5" t="str">
        <f>IF($B132="","",IFERROR(INDEX(Products!$D$5:$D$51,MATCH($B132,Products!$A$5:$A$51,0)),""))</f>
        <v/>
      </c>
      <c r="E132" s="5" t="str">
        <f>IF($B132="","",IFERROR(INDEX(Products!$C$5:$C$51,MATCH($B132,Products!$A$5:$A$51,0)),""))</f>
        <v/>
      </c>
      <c r="F132" s="5" t="str">
        <f t="shared" si="3"/>
        <v/>
      </c>
      <c r="G132" s="5" t="str">
        <f t="shared" si="4"/>
        <v/>
      </c>
      <c r="H132" s="5" t="str">
        <f t="shared" si="5"/>
        <v/>
      </c>
    </row>
    <row r="133" spans="1:8" x14ac:dyDescent="0.25">
      <c r="A133" s="6"/>
      <c r="B133" s="3"/>
      <c r="C133" s="3"/>
      <c r="D133" s="5" t="str">
        <f>IF($B133="","",IFERROR(INDEX(Products!$D$5:$D$51,MATCH($B133,Products!$A$5:$A$51,0)),""))</f>
        <v/>
      </c>
      <c r="E133" s="5" t="str">
        <f>IF($B133="","",IFERROR(INDEX(Products!$C$5:$C$51,MATCH($B133,Products!$A$5:$A$51,0)),""))</f>
        <v/>
      </c>
      <c r="F133" s="5" t="str">
        <f t="shared" ref="F133:F196" si="6">IF($B133="","",$C133*$D133)</f>
        <v/>
      </c>
      <c r="G133" s="5" t="str">
        <f t="shared" ref="G133:G196" si="7">IF($B133="","",$C133*$E133)</f>
        <v/>
      </c>
      <c r="H133" s="5" t="str">
        <f t="shared" ref="H133:H196" si="8">IF($B133="","",$F133-$G133)</f>
        <v/>
      </c>
    </row>
    <row r="134" spans="1:8" x14ac:dyDescent="0.25">
      <c r="A134" s="6"/>
      <c r="B134" s="3"/>
      <c r="C134" s="3"/>
      <c r="D134" s="5" t="str">
        <f>IF($B134="","",IFERROR(INDEX(Products!$D$5:$D$51,MATCH($B134,Products!$A$5:$A$51,0)),""))</f>
        <v/>
      </c>
      <c r="E134" s="5" t="str">
        <f>IF($B134="","",IFERROR(INDEX(Products!$C$5:$C$51,MATCH($B134,Products!$A$5:$A$51,0)),""))</f>
        <v/>
      </c>
      <c r="F134" s="5" t="str">
        <f t="shared" si="6"/>
        <v/>
      </c>
      <c r="G134" s="5" t="str">
        <f t="shared" si="7"/>
        <v/>
      </c>
      <c r="H134" s="5" t="str">
        <f t="shared" si="8"/>
        <v/>
      </c>
    </row>
    <row r="135" spans="1:8" x14ac:dyDescent="0.25">
      <c r="A135" s="6"/>
      <c r="B135" s="3"/>
      <c r="C135" s="3"/>
      <c r="D135" s="5" t="str">
        <f>IF($B135="","",IFERROR(INDEX(Products!$D$5:$D$51,MATCH($B135,Products!$A$5:$A$51,0)),""))</f>
        <v/>
      </c>
      <c r="E135" s="5" t="str">
        <f>IF($B135="","",IFERROR(INDEX(Products!$C$5:$C$51,MATCH($B135,Products!$A$5:$A$51,0)),""))</f>
        <v/>
      </c>
      <c r="F135" s="5" t="str">
        <f t="shared" si="6"/>
        <v/>
      </c>
      <c r="G135" s="5" t="str">
        <f t="shared" si="7"/>
        <v/>
      </c>
      <c r="H135" s="5" t="str">
        <f t="shared" si="8"/>
        <v/>
      </c>
    </row>
    <row r="136" spans="1:8" x14ac:dyDescent="0.25">
      <c r="A136" s="6"/>
      <c r="B136" s="3"/>
      <c r="C136" s="3"/>
      <c r="D136" s="5" t="str">
        <f>IF($B136="","",IFERROR(INDEX(Products!$D$5:$D$51,MATCH($B136,Products!$A$5:$A$51,0)),""))</f>
        <v/>
      </c>
      <c r="E136" s="5" t="str">
        <f>IF($B136="","",IFERROR(INDEX(Products!$C$5:$C$51,MATCH($B136,Products!$A$5:$A$51,0)),""))</f>
        <v/>
      </c>
      <c r="F136" s="5" t="str">
        <f t="shared" si="6"/>
        <v/>
      </c>
      <c r="G136" s="5" t="str">
        <f t="shared" si="7"/>
        <v/>
      </c>
      <c r="H136" s="5" t="str">
        <f t="shared" si="8"/>
        <v/>
      </c>
    </row>
    <row r="137" spans="1:8" x14ac:dyDescent="0.25">
      <c r="A137" s="6"/>
      <c r="B137" s="3"/>
      <c r="C137" s="3"/>
      <c r="D137" s="5" t="str">
        <f>IF($B137="","",IFERROR(INDEX(Products!$D$5:$D$51,MATCH($B137,Products!$A$5:$A$51,0)),""))</f>
        <v/>
      </c>
      <c r="E137" s="5" t="str">
        <f>IF($B137="","",IFERROR(INDEX(Products!$C$5:$C$51,MATCH($B137,Products!$A$5:$A$51,0)),""))</f>
        <v/>
      </c>
      <c r="F137" s="5" t="str">
        <f t="shared" si="6"/>
        <v/>
      </c>
      <c r="G137" s="5" t="str">
        <f t="shared" si="7"/>
        <v/>
      </c>
      <c r="H137" s="5" t="str">
        <f t="shared" si="8"/>
        <v/>
      </c>
    </row>
    <row r="138" spans="1:8" x14ac:dyDescent="0.25">
      <c r="A138" s="6"/>
      <c r="B138" s="3"/>
      <c r="C138" s="3"/>
      <c r="D138" s="5" t="str">
        <f>IF($B138="","",IFERROR(INDEX(Products!$D$5:$D$51,MATCH($B138,Products!$A$5:$A$51,0)),""))</f>
        <v/>
      </c>
      <c r="E138" s="5" t="str">
        <f>IF($B138="","",IFERROR(INDEX(Products!$C$5:$C$51,MATCH($B138,Products!$A$5:$A$51,0)),""))</f>
        <v/>
      </c>
      <c r="F138" s="5" t="str">
        <f t="shared" si="6"/>
        <v/>
      </c>
      <c r="G138" s="5" t="str">
        <f t="shared" si="7"/>
        <v/>
      </c>
      <c r="H138" s="5" t="str">
        <f t="shared" si="8"/>
        <v/>
      </c>
    </row>
    <row r="139" spans="1:8" x14ac:dyDescent="0.25">
      <c r="A139" s="6"/>
      <c r="B139" s="3"/>
      <c r="C139" s="3"/>
      <c r="D139" s="5" t="str">
        <f>IF($B139="","",IFERROR(INDEX(Products!$D$5:$D$51,MATCH($B139,Products!$A$5:$A$51,0)),""))</f>
        <v/>
      </c>
      <c r="E139" s="5" t="str">
        <f>IF($B139="","",IFERROR(INDEX(Products!$C$5:$C$51,MATCH($B139,Products!$A$5:$A$51,0)),""))</f>
        <v/>
      </c>
      <c r="F139" s="5" t="str">
        <f t="shared" si="6"/>
        <v/>
      </c>
      <c r="G139" s="5" t="str">
        <f t="shared" si="7"/>
        <v/>
      </c>
      <c r="H139" s="5" t="str">
        <f t="shared" si="8"/>
        <v/>
      </c>
    </row>
    <row r="140" spans="1:8" x14ac:dyDescent="0.25">
      <c r="A140" s="6"/>
      <c r="B140" s="3"/>
      <c r="C140" s="3"/>
      <c r="D140" s="5" t="str">
        <f>IF($B140="","",IFERROR(INDEX(Products!$D$5:$D$51,MATCH($B140,Products!$A$5:$A$51,0)),""))</f>
        <v/>
      </c>
      <c r="E140" s="5" t="str">
        <f>IF($B140="","",IFERROR(INDEX(Products!$C$5:$C$51,MATCH($B140,Products!$A$5:$A$51,0)),""))</f>
        <v/>
      </c>
      <c r="F140" s="5" t="str">
        <f t="shared" si="6"/>
        <v/>
      </c>
      <c r="G140" s="5" t="str">
        <f t="shared" si="7"/>
        <v/>
      </c>
      <c r="H140" s="5" t="str">
        <f t="shared" si="8"/>
        <v/>
      </c>
    </row>
    <row r="141" spans="1:8" x14ac:dyDescent="0.25">
      <c r="A141" s="6"/>
      <c r="B141" s="3"/>
      <c r="C141" s="3"/>
      <c r="D141" s="5" t="str">
        <f>IF($B141="","",IFERROR(INDEX(Products!$D$5:$D$51,MATCH($B141,Products!$A$5:$A$51,0)),""))</f>
        <v/>
      </c>
      <c r="E141" s="5" t="str">
        <f>IF($B141="","",IFERROR(INDEX(Products!$C$5:$C$51,MATCH($B141,Products!$A$5:$A$51,0)),""))</f>
        <v/>
      </c>
      <c r="F141" s="5" t="str">
        <f t="shared" si="6"/>
        <v/>
      </c>
      <c r="G141" s="5" t="str">
        <f t="shared" si="7"/>
        <v/>
      </c>
      <c r="H141" s="5" t="str">
        <f t="shared" si="8"/>
        <v/>
      </c>
    </row>
    <row r="142" spans="1:8" x14ac:dyDescent="0.25">
      <c r="A142" s="6"/>
      <c r="B142" s="3"/>
      <c r="C142" s="3"/>
      <c r="D142" s="5" t="str">
        <f>IF($B142="","",IFERROR(INDEX(Products!$D$5:$D$51,MATCH($B142,Products!$A$5:$A$51,0)),""))</f>
        <v/>
      </c>
      <c r="E142" s="5" t="str">
        <f>IF($B142="","",IFERROR(INDEX(Products!$C$5:$C$51,MATCH($B142,Products!$A$5:$A$51,0)),""))</f>
        <v/>
      </c>
      <c r="F142" s="5" t="str">
        <f t="shared" si="6"/>
        <v/>
      </c>
      <c r="G142" s="5" t="str">
        <f t="shared" si="7"/>
        <v/>
      </c>
      <c r="H142" s="5" t="str">
        <f t="shared" si="8"/>
        <v/>
      </c>
    </row>
    <row r="143" spans="1:8" x14ac:dyDescent="0.25">
      <c r="A143" s="6"/>
      <c r="B143" s="3"/>
      <c r="C143" s="3"/>
      <c r="D143" s="5" t="str">
        <f>IF($B143="","",IFERROR(INDEX(Products!$D$5:$D$51,MATCH($B143,Products!$A$5:$A$51,0)),""))</f>
        <v/>
      </c>
      <c r="E143" s="5" t="str">
        <f>IF($B143="","",IFERROR(INDEX(Products!$C$5:$C$51,MATCH($B143,Products!$A$5:$A$51,0)),""))</f>
        <v/>
      </c>
      <c r="F143" s="5" t="str">
        <f t="shared" si="6"/>
        <v/>
      </c>
      <c r="G143" s="5" t="str">
        <f t="shared" si="7"/>
        <v/>
      </c>
      <c r="H143" s="5" t="str">
        <f t="shared" si="8"/>
        <v/>
      </c>
    </row>
    <row r="144" spans="1:8" x14ac:dyDescent="0.25">
      <c r="A144" s="6"/>
      <c r="B144" s="3"/>
      <c r="C144" s="3"/>
      <c r="D144" s="5" t="str">
        <f>IF($B144="","",IFERROR(INDEX(Products!$D$5:$D$51,MATCH($B144,Products!$A$5:$A$51,0)),""))</f>
        <v/>
      </c>
      <c r="E144" s="5" t="str">
        <f>IF($B144="","",IFERROR(INDEX(Products!$C$5:$C$51,MATCH($B144,Products!$A$5:$A$51,0)),""))</f>
        <v/>
      </c>
      <c r="F144" s="5" t="str">
        <f t="shared" si="6"/>
        <v/>
      </c>
      <c r="G144" s="5" t="str">
        <f t="shared" si="7"/>
        <v/>
      </c>
      <c r="H144" s="5" t="str">
        <f t="shared" si="8"/>
        <v/>
      </c>
    </row>
    <row r="145" spans="1:8" x14ac:dyDescent="0.25">
      <c r="A145" s="6"/>
      <c r="B145" s="3"/>
      <c r="C145" s="3"/>
      <c r="D145" s="5" t="str">
        <f>IF($B145="","",IFERROR(INDEX(Products!$D$5:$D$51,MATCH($B145,Products!$A$5:$A$51,0)),""))</f>
        <v/>
      </c>
      <c r="E145" s="5" t="str">
        <f>IF($B145="","",IFERROR(INDEX(Products!$C$5:$C$51,MATCH($B145,Products!$A$5:$A$51,0)),""))</f>
        <v/>
      </c>
      <c r="F145" s="5" t="str">
        <f t="shared" si="6"/>
        <v/>
      </c>
      <c r="G145" s="5" t="str">
        <f t="shared" si="7"/>
        <v/>
      </c>
      <c r="H145" s="5" t="str">
        <f t="shared" si="8"/>
        <v/>
      </c>
    </row>
    <row r="146" spans="1:8" x14ac:dyDescent="0.25">
      <c r="A146" s="6"/>
      <c r="B146" s="3"/>
      <c r="C146" s="3"/>
      <c r="D146" s="5" t="str">
        <f>IF($B146="","",IFERROR(INDEX(Products!$D$5:$D$51,MATCH($B146,Products!$A$5:$A$51,0)),""))</f>
        <v/>
      </c>
      <c r="E146" s="5" t="str">
        <f>IF($B146="","",IFERROR(INDEX(Products!$C$5:$C$51,MATCH($B146,Products!$A$5:$A$51,0)),""))</f>
        <v/>
      </c>
      <c r="F146" s="5" t="str">
        <f t="shared" si="6"/>
        <v/>
      </c>
      <c r="G146" s="5" t="str">
        <f t="shared" si="7"/>
        <v/>
      </c>
      <c r="H146" s="5" t="str">
        <f t="shared" si="8"/>
        <v/>
      </c>
    </row>
    <row r="147" spans="1:8" x14ac:dyDescent="0.25">
      <c r="A147" s="6"/>
      <c r="B147" s="3"/>
      <c r="C147" s="3"/>
      <c r="D147" s="5" t="str">
        <f>IF($B147="","",IFERROR(INDEX(Products!$D$5:$D$51,MATCH($B147,Products!$A$5:$A$51,0)),""))</f>
        <v/>
      </c>
      <c r="E147" s="5" t="str">
        <f>IF($B147="","",IFERROR(INDEX(Products!$C$5:$C$51,MATCH($B147,Products!$A$5:$A$51,0)),""))</f>
        <v/>
      </c>
      <c r="F147" s="5" t="str">
        <f t="shared" si="6"/>
        <v/>
      </c>
      <c r="G147" s="5" t="str">
        <f t="shared" si="7"/>
        <v/>
      </c>
      <c r="H147" s="5" t="str">
        <f t="shared" si="8"/>
        <v/>
      </c>
    </row>
    <row r="148" spans="1:8" x14ac:dyDescent="0.25">
      <c r="A148" s="6"/>
      <c r="B148" s="3"/>
      <c r="C148" s="3"/>
      <c r="D148" s="5" t="str">
        <f>IF($B148="","",IFERROR(INDEX(Products!$D$5:$D$51,MATCH($B148,Products!$A$5:$A$51,0)),""))</f>
        <v/>
      </c>
      <c r="E148" s="5" t="str">
        <f>IF($B148="","",IFERROR(INDEX(Products!$C$5:$C$51,MATCH($B148,Products!$A$5:$A$51,0)),""))</f>
        <v/>
      </c>
      <c r="F148" s="5" t="str">
        <f t="shared" si="6"/>
        <v/>
      </c>
      <c r="G148" s="5" t="str">
        <f t="shared" si="7"/>
        <v/>
      </c>
      <c r="H148" s="5" t="str">
        <f t="shared" si="8"/>
        <v/>
      </c>
    </row>
    <row r="149" spans="1:8" x14ac:dyDescent="0.25">
      <c r="A149" s="6"/>
      <c r="B149" s="3"/>
      <c r="C149" s="3"/>
      <c r="D149" s="5" t="str">
        <f>IF($B149="","",IFERROR(INDEX(Products!$D$5:$D$51,MATCH($B149,Products!$A$5:$A$51,0)),""))</f>
        <v/>
      </c>
      <c r="E149" s="5" t="str">
        <f>IF($B149="","",IFERROR(INDEX(Products!$C$5:$C$51,MATCH($B149,Products!$A$5:$A$51,0)),""))</f>
        <v/>
      </c>
      <c r="F149" s="5" t="str">
        <f t="shared" si="6"/>
        <v/>
      </c>
      <c r="G149" s="5" t="str">
        <f t="shared" si="7"/>
        <v/>
      </c>
      <c r="H149" s="5" t="str">
        <f t="shared" si="8"/>
        <v/>
      </c>
    </row>
    <row r="150" spans="1:8" x14ac:dyDescent="0.25">
      <c r="A150" s="6"/>
      <c r="B150" s="3"/>
      <c r="C150" s="3"/>
      <c r="D150" s="5" t="str">
        <f>IF($B150="","",IFERROR(INDEX(Products!$D$5:$D$51,MATCH($B150,Products!$A$5:$A$51,0)),""))</f>
        <v/>
      </c>
      <c r="E150" s="5" t="str">
        <f>IF($B150="","",IFERROR(INDEX(Products!$C$5:$C$51,MATCH($B150,Products!$A$5:$A$51,0)),""))</f>
        <v/>
      </c>
      <c r="F150" s="5" t="str">
        <f t="shared" si="6"/>
        <v/>
      </c>
      <c r="G150" s="5" t="str">
        <f t="shared" si="7"/>
        <v/>
      </c>
      <c r="H150" s="5" t="str">
        <f t="shared" si="8"/>
        <v/>
      </c>
    </row>
    <row r="151" spans="1:8" x14ac:dyDescent="0.25">
      <c r="A151" s="6"/>
      <c r="B151" s="3"/>
      <c r="C151" s="3"/>
      <c r="D151" s="5" t="str">
        <f>IF($B151="","",IFERROR(INDEX(Products!$D$5:$D$51,MATCH($B151,Products!$A$5:$A$51,0)),""))</f>
        <v/>
      </c>
      <c r="E151" s="5" t="str">
        <f>IF($B151="","",IFERROR(INDEX(Products!$C$5:$C$51,MATCH($B151,Products!$A$5:$A$51,0)),""))</f>
        <v/>
      </c>
      <c r="F151" s="5" t="str">
        <f t="shared" si="6"/>
        <v/>
      </c>
      <c r="G151" s="5" t="str">
        <f t="shared" si="7"/>
        <v/>
      </c>
      <c r="H151" s="5" t="str">
        <f t="shared" si="8"/>
        <v/>
      </c>
    </row>
    <row r="152" spans="1:8" x14ac:dyDescent="0.25">
      <c r="A152" s="6"/>
      <c r="B152" s="3"/>
      <c r="C152" s="3"/>
      <c r="D152" s="5" t="str">
        <f>IF($B152="","",IFERROR(INDEX(Products!$D$5:$D$51,MATCH($B152,Products!$A$5:$A$51,0)),""))</f>
        <v/>
      </c>
      <c r="E152" s="5" t="str">
        <f>IF($B152="","",IFERROR(INDEX(Products!$C$5:$C$51,MATCH($B152,Products!$A$5:$A$51,0)),""))</f>
        <v/>
      </c>
      <c r="F152" s="5" t="str">
        <f t="shared" si="6"/>
        <v/>
      </c>
      <c r="G152" s="5" t="str">
        <f t="shared" si="7"/>
        <v/>
      </c>
      <c r="H152" s="5" t="str">
        <f t="shared" si="8"/>
        <v/>
      </c>
    </row>
    <row r="153" spans="1:8" x14ac:dyDescent="0.25">
      <c r="A153" s="6"/>
      <c r="B153" s="3"/>
      <c r="C153" s="3"/>
      <c r="D153" s="5" t="str">
        <f>IF($B153="","",IFERROR(INDEX(Products!$D$5:$D$51,MATCH($B153,Products!$A$5:$A$51,0)),""))</f>
        <v/>
      </c>
      <c r="E153" s="5" t="str">
        <f>IF($B153="","",IFERROR(INDEX(Products!$C$5:$C$51,MATCH($B153,Products!$A$5:$A$51,0)),""))</f>
        <v/>
      </c>
      <c r="F153" s="5" t="str">
        <f t="shared" si="6"/>
        <v/>
      </c>
      <c r="G153" s="5" t="str">
        <f t="shared" si="7"/>
        <v/>
      </c>
      <c r="H153" s="5" t="str">
        <f t="shared" si="8"/>
        <v/>
      </c>
    </row>
    <row r="154" spans="1:8" x14ac:dyDescent="0.25">
      <c r="A154" s="6"/>
      <c r="B154" s="3"/>
      <c r="C154" s="3"/>
      <c r="D154" s="5" t="str">
        <f>IF($B154="","",IFERROR(INDEX(Products!$D$5:$D$51,MATCH($B154,Products!$A$5:$A$51,0)),""))</f>
        <v/>
      </c>
      <c r="E154" s="5" t="str">
        <f>IF($B154="","",IFERROR(INDEX(Products!$C$5:$C$51,MATCH($B154,Products!$A$5:$A$51,0)),""))</f>
        <v/>
      </c>
      <c r="F154" s="5" t="str">
        <f t="shared" si="6"/>
        <v/>
      </c>
      <c r="G154" s="5" t="str">
        <f t="shared" si="7"/>
        <v/>
      </c>
      <c r="H154" s="5" t="str">
        <f t="shared" si="8"/>
        <v/>
      </c>
    </row>
    <row r="155" spans="1:8" x14ac:dyDescent="0.25">
      <c r="A155" s="6"/>
      <c r="B155" s="3"/>
      <c r="C155" s="3"/>
      <c r="D155" s="5" t="str">
        <f>IF($B155="","",IFERROR(INDEX(Products!$D$5:$D$51,MATCH($B155,Products!$A$5:$A$51,0)),""))</f>
        <v/>
      </c>
      <c r="E155" s="5" t="str">
        <f>IF($B155="","",IFERROR(INDEX(Products!$C$5:$C$51,MATCH($B155,Products!$A$5:$A$51,0)),""))</f>
        <v/>
      </c>
      <c r="F155" s="5" t="str">
        <f t="shared" si="6"/>
        <v/>
      </c>
      <c r="G155" s="5" t="str">
        <f t="shared" si="7"/>
        <v/>
      </c>
      <c r="H155" s="5" t="str">
        <f t="shared" si="8"/>
        <v/>
      </c>
    </row>
    <row r="156" spans="1:8" x14ac:dyDescent="0.25">
      <c r="A156" s="6"/>
      <c r="B156" s="3"/>
      <c r="C156" s="3"/>
      <c r="D156" s="5" t="str">
        <f>IF($B156="","",IFERROR(INDEX(Products!$D$5:$D$51,MATCH($B156,Products!$A$5:$A$51,0)),""))</f>
        <v/>
      </c>
      <c r="E156" s="5" t="str">
        <f>IF($B156="","",IFERROR(INDEX(Products!$C$5:$C$51,MATCH($B156,Products!$A$5:$A$51,0)),""))</f>
        <v/>
      </c>
      <c r="F156" s="5" t="str">
        <f t="shared" si="6"/>
        <v/>
      </c>
      <c r="G156" s="5" t="str">
        <f t="shared" si="7"/>
        <v/>
      </c>
      <c r="H156" s="5" t="str">
        <f t="shared" si="8"/>
        <v/>
      </c>
    </row>
    <row r="157" spans="1:8" x14ac:dyDescent="0.25">
      <c r="A157" s="6"/>
      <c r="B157" s="3"/>
      <c r="C157" s="3"/>
      <c r="D157" s="5" t="str">
        <f>IF($B157="","",IFERROR(INDEX(Products!$D$5:$D$51,MATCH($B157,Products!$A$5:$A$51,0)),""))</f>
        <v/>
      </c>
      <c r="E157" s="5" t="str">
        <f>IF($B157="","",IFERROR(INDEX(Products!$C$5:$C$51,MATCH($B157,Products!$A$5:$A$51,0)),""))</f>
        <v/>
      </c>
      <c r="F157" s="5" t="str">
        <f t="shared" si="6"/>
        <v/>
      </c>
      <c r="G157" s="5" t="str">
        <f t="shared" si="7"/>
        <v/>
      </c>
      <c r="H157" s="5" t="str">
        <f t="shared" si="8"/>
        <v/>
      </c>
    </row>
    <row r="158" spans="1:8" x14ac:dyDescent="0.25">
      <c r="A158" s="6"/>
      <c r="B158" s="3"/>
      <c r="C158" s="3"/>
      <c r="D158" s="5" t="str">
        <f>IF($B158="","",IFERROR(INDEX(Products!$D$5:$D$51,MATCH($B158,Products!$A$5:$A$51,0)),""))</f>
        <v/>
      </c>
      <c r="E158" s="5" t="str">
        <f>IF($B158="","",IFERROR(INDEX(Products!$C$5:$C$51,MATCH($B158,Products!$A$5:$A$51,0)),""))</f>
        <v/>
      </c>
      <c r="F158" s="5" t="str">
        <f t="shared" si="6"/>
        <v/>
      </c>
      <c r="G158" s="5" t="str">
        <f t="shared" si="7"/>
        <v/>
      </c>
      <c r="H158" s="5" t="str">
        <f t="shared" si="8"/>
        <v/>
      </c>
    </row>
    <row r="159" spans="1:8" x14ac:dyDescent="0.25">
      <c r="A159" s="6"/>
      <c r="B159" s="3"/>
      <c r="C159" s="3"/>
      <c r="D159" s="5" t="str">
        <f>IF($B159="","",IFERROR(INDEX(Products!$D$5:$D$51,MATCH($B159,Products!$A$5:$A$51,0)),""))</f>
        <v/>
      </c>
      <c r="E159" s="5" t="str">
        <f>IF($B159="","",IFERROR(INDEX(Products!$C$5:$C$51,MATCH($B159,Products!$A$5:$A$51,0)),""))</f>
        <v/>
      </c>
      <c r="F159" s="5" t="str">
        <f t="shared" si="6"/>
        <v/>
      </c>
      <c r="G159" s="5" t="str">
        <f t="shared" si="7"/>
        <v/>
      </c>
      <c r="H159" s="5" t="str">
        <f t="shared" si="8"/>
        <v/>
      </c>
    </row>
    <row r="160" spans="1:8" x14ac:dyDescent="0.25">
      <c r="A160" s="6"/>
      <c r="B160" s="3"/>
      <c r="C160" s="3"/>
      <c r="D160" s="5" t="str">
        <f>IF($B160="","",IFERROR(INDEX(Products!$D$5:$D$51,MATCH($B160,Products!$A$5:$A$51,0)),""))</f>
        <v/>
      </c>
      <c r="E160" s="5" t="str">
        <f>IF($B160="","",IFERROR(INDEX(Products!$C$5:$C$51,MATCH($B160,Products!$A$5:$A$51,0)),""))</f>
        <v/>
      </c>
      <c r="F160" s="5" t="str">
        <f t="shared" si="6"/>
        <v/>
      </c>
      <c r="G160" s="5" t="str">
        <f t="shared" si="7"/>
        <v/>
      </c>
      <c r="H160" s="5" t="str">
        <f t="shared" si="8"/>
        <v/>
      </c>
    </row>
    <row r="161" spans="1:8" x14ac:dyDescent="0.25">
      <c r="A161" s="6"/>
      <c r="B161" s="3"/>
      <c r="C161" s="3"/>
      <c r="D161" s="5" t="str">
        <f>IF($B161="","",IFERROR(INDEX(Products!$D$5:$D$51,MATCH($B161,Products!$A$5:$A$51,0)),""))</f>
        <v/>
      </c>
      <c r="E161" s="5" t="str">
        <f>IF($B161="","",IFERROR(INDEX(Products!$C$5:$C$51,MATCH($B161,Products!$A$5:$A$51,0)),""))</f>
        <v/>
      </c>
      <c r="F161" s="5" t="str">
        <f t="shared" si="6"/>
        <v/>
      </c>
      <c r="G161" s="5" t="str">
        <f t="shared" si="7"/>
        <v/>
      </c>
      <c r="H161" s="5" t="str">
        <f t="shared" si="8"/>
        <v/>
      </c>
    </row>
    <row r="162" spans="1:8" x14ac:dyDescent="0.25">
      <c r="A162" s="6"/>
      <c r="B162" s="3"/>
      <c r="C162" s="3"/>
      <c r="D162" s="5" t="str">
        <f>IF($B162="","",IFERROR(INDEX(Products!$D$5:$D$51,MATCH($B162,Products!$A$5:$A$51,0)),""))</f>
        <v/>
      </c>
      <c r="E162" s="5" t="str">
        <f>IF($B162="","",IFERROR(INDEX(Products!$C$5:$C$51,MATCH($B162,Products!$A$5:$A$51,0)),""))</f>
        <v/>
      </c>
      <c r="F162" s="5" t="str">
        <f t="shared" si="6"/>
        <v/>
      </c>
      <c r="G162" s="5" t="str">
        <f t="shared" si="7"/>
        <v/>
      </c>
      <c r="H162" s="5" t="str">
        <f t="shared" si="8"/>
        <v/>
      </c>
    </row>
    <row r="163" spans="1:8" x14ac:dyDescent="0.25">
      <c r="A163" s="6"/>
      <c r="B163" s="3"/>
      <c r="C163" s="3"/>
      <c r="D163" s="5" t="str">
        <f>IF($B163="","",IFERROR(INDEX(Products!$D$5:$D$51,MATCH($B163,Products!$A$5:$A$51,0)),""))</f>
        <v/>
      </c>
      <c r="E163" s="5" t="str">
        <f>IF($B163="","",IFERROR(INDEX(Products!$C$5:$C$51,MATCH($B163,Products!$A$5:$A$51,0)),""))</f>
        <v/>
      </c>
      <c r="F163" s="5" t="str">
        <f t="shared" si="6"/>
        <v/>
      </c>
      <c r="G163" s="5" t="str">
        <f t="shared" si="7"/>
        <v/>
      </c>
      <c r="H163" s="5" t="str">
        <f t="shared" si="8"/>
        <v/>
      </c>
    </row>
    <row r="164" spans="1:8" x14ac:dyDescent="0.25">
      <c r="A164" s="6"/>
      <c r="B164" s="3"/>
      <c r="C164" s="3"/>
      <c r="D164" s="5" t="str">
        <f>IF($B164="","",IFERROR(INDEX(Products!$D$5:$D$51,MATCH($B164,Products!$A$5:$A$51,0)),""))</f>
        <v/>
      </c>
      <c r="E164" s="5" t="str">
        <f>IF($B164="","",IFERROR(INDEX(Products!$C$5:$C$51,MATCH($B164,Products!$A$5:$A$51,0)),""))</f>
        <v/>
      </c>
      <c r="F164" s="5" t="str">
        <f t="shared" si="6"/>
        <v/>
      </c>
      <c r="G164" s="5" t="str">
        <f t="shared" si="7"/>
        <v/>
      </c>
      <c r="H164" s="5" t="str">
        <f t="shared" si="8"/>
        <v/>
      </c>
    </row>
    <row r="165" spans="1:8" x14ac:dyDescent="0.25">
      <c r="A165" s="6"/>
      <c r="B165" s="3"/>
      <c r="C165" s="3"/>
      <c r="D165" s="5" t="str">
        <f>IF($B165="","",IFERROR(INDEX(Products!$D$5:$D$51,MATCH($B165,Products!$A$5:$A$51,0)),""))</f>
        <v/>
      </c>
      <c r="E165" s="5" t="str">
        <f>IF($B165="","",IFERROR(INDEX(Products!$C$5:$C$51,MATCH($B165,Products!$A$5:$A$51,0)),""))</f>
        <v/>
      </c>
      <c r="F165" s="5" t="str">
        <f t="shared" si="6"/>
        <v/>
      </c>
      <c r="G165" s="5" t="str">
        <f t="shared" si="7"/>
        <v/>
      </c>
      <c r="H165" s="5" t="str">
        <f t="shared" si="8"/>
        <v/>
      </c>
    </row>
    <row r="166" spans="1:8" x14ac:dyDescent="0.25">
      <c r="A166" s="6"/>
      <c r="B166" s="3"/>
      <c r="C166" s="3"/>
      <c r="D166" s="5" t="str">
        <f>IF($B166="","",IFERROR(INDEX(Products!$D$5:$D$51,MATCH($B166,Products!$A$5:$A$51,0)),""))</f>
        <v/>
      </c>
      <c r="E166" s="5" t="str">
        <f>IF($B166="","",IFERROR(INDEX(Products!$C$5:$C$51,MATCH($B166,Products!$A$5:$A$51,0)),""))</f>
        <v/>
      </c>
      <c r="F166" s="5" t="str">
        <f t="shared" si="6"/>
        <v/>
      </c>
      <c r="G166" s="5" t="str">
        <f t="shared" si="7"/>
        <v/>
      </c>
      <c r="H166" s="5" t="str">
        <f t="shared" si="8"/>
        <v/>
      </c>
    </row>
    <row r="167" spans="1:8" x14ac:dyDescent="0.25">
      <c r="A167" s="6"/>
      <c r="B167" s="3"/>
      <c r="C167" s="3"/>
      <c r="D167" s="5" t="str">
        <f>IF($B167="","",IFERROR(INDEX(Products!$D$5:$D$51,MATCH($B167,Products!$A$5:$A$51,0)),""))</f>
        <v/>
      </c>
      <c r="E167" s="5" t="str">
        <f>IF($B167="","",IFERROR(INDEX(Products!$C$5:$C$51,MATCH($B167,Products!$A$5:$A$51,0)),""))</f>
        <v/>
      </c>
      <c r="F167" s="5" t="str">
        <f t="shared" si="6"/>
        <v/>
      </c>
      <c r="G167" s="5" t="str">
        <f t="shared" si="7"/>
        <v/>
      </c>
      <c r="H167" s="5" t="str">
        <f t="shared" si="8"/>
        <v/>
      </c>
    </row>
    <row r="168" spans="1:8" x14ac:dyDescent="0.25">
      <c r="A168" s="6"/>
      <c r="B168" s="3"/>
      <c r="C168" s="3"/>
      <c r="D168" s="5" t="str">
        <f>IF($B168="","",IFERROR(INDEX(Products!$D$5:$D$51,MATCH($B168,Products!$A$5:$A$51,0)),""))</f>
        <v/>
      </c>
      <c r="E168" s="5" t="str">
        <f>IF($B168="","",IFERROR(INDEX(Products!$C$5:$C$51,MATCH($B168,Products!$A$5:$A$51,0)),""))</f>
        <v/>
      </c>
      <c r="F168" s="5" t="str">
        <f t="shared" si="6"/>
        <v/>
      </c>
      <c r="G168" s="5" t="str">
        <f t="shared" si="7"/>
        <v/>
      </c>
      <c r="H168" s="5" t="str">
        <f t="shared" si="8"/>
        <v/>
      </c>
    </row>
    <row r="169" spans="1:8" x14ac:dyDescent="0.25">
      <c r="A169" s="6"/>
      <c r="B169" s="3"/>
      <c r="C169" s="3"/>
      <c r="D169" s="5" t="str">
        <f>IF($B169="","",IFERROR(INDEX(Products!$D$5:$D$51,MATCH($B169,Products!$A$5:$A$51,0)),""))</f>
        <v/>
      </c>
      <c r="E169" s="5" t="str">
        <f>IF($B169="","",IFERROR(INDEX(Products!$C$5:$C$51,MATCH($B169,Products!$A$5:$A$51,0)),""))</f>
        <v/>
      </c>
      <c r="F169" s="5" t="str">
        <f t="shared" si="6"/>
        <v/>
      </c>
      <c r="G169" s="5" t="str">
        <f t="shared" si="7"/>
        <v/>
      </c>
      <c r="H169" s="5" t="str">
        <f t="shared" si="8"/>
        <v/>
      </c>
    </row>
    <row r="170" spans="1:8" x14ac:dyDescent="0.25">
      <c r="A170" s="6"/>
      <c r="B170" s="3"/>
      <c r="C170" s="3"/>
      <c r="D170" s="5" t="str">
        <f>IF($B170="","",IFERROR(INDEX(Products!$D$5:$D$51,MATCH($B170,Products!$A$5:$A$51,0)),""))</f>
        <v/>
      </c>
      <c r="E170" s="5" t="str">
        <f>IF($B170="","",IFERROR(INDEX(Products!$C$5:$C$51,MATCH($B170,Products!$A$5:$A$51,0)),""))</f>
        <v/>
      </c>
      <c r="F170" s="5" t="str">
        <f t="shared" si="6"/>
        <v/>
      </c>
      <c r="G170" s="5" t="str">
        <f t="shared" si="7"/>
        <v/>
      </c>
      <c r="H170" s="5" t="str">
        <f t="shared" si="8"/>
        <v/>
      </c>
    </row>
    <row r="171" spans="1:8" x14ac:dyDescent="0.25">
      <c r="A171" s="6"/>
      <c r="B171" s="3"/>
      <c r="C171" s="3"/>
      <c r="D171" s="5" t="str">
        <f>IF($B171="","",IFERROR(INDEX(Products!$D$5:$D$51,MATCH($B171,Products!$A$5:$A$51,0)),""))</f>
        <v/>
      </c>
      <c r="E171" s="5" t="str">
        <f>IF($B171="","",IFERROR(INDEX(Products!$C$5:$C$51,MATCH($B171,Products!$A$5:$A$51,0)),""))</f>
        <v/>
      </c>
      <c r="F171" s="5" t="str">
        <f t="shared" si="6"/>
        <v/>
      </c>
      <c r="G171" s="5" t="str">
        <f t="shared" si="7"/>
        <v/>
      </c>
      <c r="H171" s="5" t="str">
        <f t="shared" si="8"/>
        <v/>
      </c>
    </row>
    <row r="172" spans="1:8" x14ac:dyDescent="0.25">
      <c r="A172" s="6"/>
      <c r="B172" s="3"/>
      <c r="C172" s="3"/>
      <c r="D172" s="5" t="str">
        <f>IF($B172="","",IFERROR(INDEX(Products!$D$5:$D$51,MATCH($B172,Products!$A$5:$A$51,0)),""))</f>
        <v/>
      </c>
      <c r="E172" s="5" t="str">
        <f>IF($B172="","",IFERROR(INDEX(Products!$C$5:$C$51,MATCH($B172,Products!$A$5:$A$51,0)),""))</f>
        <v/>
      </c>
      <c r="F172" s="5" t="str">
        <f t="shared" si="6"/>
        <v/>
      </c>
      <c r="G172" s="5" t="str">
        <f t="shared" si="7"/>
        <v/>
      </c>
      <c r="H172" s="5" t="str">
        <f t="shared" si="8"/>
        <v/>
      </c>
    </row>
    <row r="173" spans="1:8" x14ac:dyDescent="0.25">
      <c r="A173" s="6"/>
      <c r="B173" s="3"/>
      <c r="C173" s="3"/>
      <c r="D173" s="5" t="str">
        <f>IF($B173="","",IFERROR(INDEX(Products!$D$5:$D$51,MATCH($B173,Products!$A$5:$A$51,0)),""))</f>
        <v/>
      </c>
      <c r="E173" s="5" t="str">
        <f>IF($B173="","",IFERROR(INDEX(Products!$C$5:$C$51,MATCH($B173,Products!$A$5:$A$51,0)),""))</f>
        <v/>
      </c>
      <c r="F173" s="5" t="str">
        <f t="shared" si="6"/>
        <v/>
      </c>
      <c r="G173" s="5" t="str">
        <f t="shared" si="7"/>
        <v/>
      </c>
      <c r="H173" s="5" t="str">
        <f t="shared" si="8"/>
        <v/>
      </c>
    </row>
    <row r="174" spans="1:8" x14ac:dyDescent="0.25">
      <c r="A174" s="6"/>
      <c r="B174" s="3"/>
      <c r="C174" s="3"/>
      <c r="D174" s="5" t="str">
        <f>IF($B174="","",IFERROR(INDEX(Products!$D$5:$D$51,MATCH($B174,Products!$A$5:$A$51,0)),""))</f>
        <v/>
      </c>
      <c r="E174" s="5" t="str">
        <f>IF($B174="","",IFERROR(INDEX(Products!$C$5:$C$51,MATCH($B174,Products!$A$5:$A$51,0)),""))</f>
        <v/>
      </c>
      <c r="F174" s="5" t="str">
        <f t="shared" si="6"/>
        <v/>
      </c>
      <c r="G174" s="5" t="str">
        <f t="shared" si="7"/>
        <v/>
      </c>
      <c r="H174" s="5" t="str">
        <f t="shared" si="8"/>
        <v/>
      </c>
    </row>
    <row r="175" spans="1:8" x14ac:dyDescent="0.25">
      <c r="A175" s="6"/>
      <c r="B175" s="3"/>
      <c r="C175" s="3"/>
      <c r="D175" s="5" t="str">
        <f>IF($B175="","",IFERROR(INDEX(Products!$D$5:$D$51,MATCH($B175,Products!$A$5:$A$51,0)),""))</f>
        <v/>
      </c>
      <c r="E175" s="5" t="str">
        <f>IF($B175="","",IFERROR(INDEX(Products!$C$5:$C$51,MATCH($B175,Products!$A$5:$A$51,0)),""))</f>
        <v/>
      </c>
      <c r="F175" s="5" t="str">
        <f t="shared" si="6"/>
        <v/>
      </c>
      <c r="G175" s="5" t="str">
        <f t="shared" si="7"/>
        <v/>
      </c>
      <c r="H175" s="5" t="str">
        <f t="shared" si="8"/>
        <v/>
      </c>
    </row>
    <row r="176" spans="1:8" x14ac:dyDescent="0.25">
      <c r="A176" s="6"/>
      <c r="B176" s="3"/>
      <c r="C176" s="3"/>
      <c r="D176" s="5" t="str">
        <f>IF($B176="","",IFERROR(INDEX(Products!$D$5:$D$51,MATCH($B176,Products!$A$5:$A$51,0)),""))</f>
        <v/>
      </c>
      <c r="E176" s="5" t="str">
        <f>IF($B176="","",IFERROR(INDEX(Products!$C$5:$C$51,MATCH($B176,Products!$A$5:$A$51,0)),""))</f>
        <v/>
      </c>
      <c r="F176" s="5" t="str">
        <f t="shared" si="6"/>
        <v/>
      </c>
      <c r="G176" s="5" t="str">
        <f t="shared" si="7"/>
        <v/>
      </c>
      <c r="H176" s="5" t="str">
        <f t="shared" si="8"/>
        <v/>
      </c>
    </row>
    <row r="177" spans="1:8" x14ac:dyDescent="0.25">
      <c r="A177" s="6"/>
      <c r="B177" s="3"/>
      <c r="C177" s="3"/>
      <c r="D177" s="5" t="str">
        <f>IF($B177="","",IFERROR(INDEX(Products!$D$5:$D$51,MATCH($B177,Products!$A$5:$A$51,0)),""))</f>
        <v/>
      </c>
      <c r="E177" s="5" t="str">
        <f>IF($B177="","",IFERROR(INDEX(Products!$C$5:$C$51,MATCH($B177,Products!$A$5:$A$51,0)),""))</f>
        <v/>
      </c>
      <c r="F177" s="5" t="str">
        <f t="shared" si="6"/>
        <v/>
      </c>
      <c r="G177" s="5" t="str">
        <f t="shared" si="7"/>
        <v/>
      </c>
      <c r="H177" s="5" t="str">
        <f t="shared" si="8"/>
        <v/>
      </c>
    </row>
    <row r="178" spans="1:8" x14ac:dyDescent="0.25">
      <c r="A178" s="6"/>
      <c r="B178" s="3"/>
      <c r="C178" s="3"/>
      <c r="D178" s="5" t="str">
        <f>IF($B178="","",IFERROR(INDEX(Products!$D$5:$D$51,MATCH($B178,Products!$A$5:$A$51,0)),""))</f>
        <v/>
      </c>
      <c r="E178" s="5" t="str">
        <f>IF($B178="","",IFERROR(INDEX(Products!$C$5:$C$51,MATCH($B178,Products!$A$5:$A$51,0)),""))</f>
        <v/>
      </c>
      <c r="F178" s="5" t="str">
        <f t="shared" si="6"/>
        <v/>
      </c>
      <c r="G178" s="5" t="str">
        <f t="shared" si="7"/>
        <v/>
      </c>
      <c r="H178" s="5" t="str">
        <f t="shared" si="8"/>
        <v/>
      </c>
    </row>
    <row r="179" spans="1:8" x14ac:dyDescent="0.25">
      <c r="A179" s="6"/>
      <c r="B179" s="3"/>
      <c r="C179" s="3"/>
      <c r="D179" s="5" t="str">
        <f>IF($B179="","",IFERROR(INDEX(Products!$D$5:$D$51,MATCH($B179,Products!$A$5:$A$51,0)),""))</f>
        <v/>
      </c>
      <c r="E179" s="5" t="str">
        <f>IF($B179="","",IFERROR(INDEX(Products!$C$5:$C$51,MATCH($B179,Products!$A$5:$A$51,0)),""))</f>
        <v/>
      </c>
      <c r="F179" s="5" t="str">
        <f t="shared" si="6"/>
        <v/>
      </c>
      <c r="G179" s="5" t="str">
        <f t="shared" si="7"/>
        <v/>
      </c>
      <c r="H179" s="5" t="str">
        <f t="shared" si="8"/>
        <v/>
      </c>
    </row>
    <row r="180" spans="1:8" x14ac:dyDescent="0.25">
      <c r="A180" s="6"/>
      <c r="B180" s="3"/>
      <c r="C180" s="3"/>
      <c r="D180" s="5" t="str">
        <f>IF($B180="","",IFERROR(INDEX(Products!$D$5:$D$51,MATCH($B180,Products!$A$5:$A$51,0)),""))</f>
        <v/>
      </c>
      <c r="E180" s="5" t="str">
        <f>IF($B180="","",IFERROR(INDEX(Products!$C$5:$C$51,MATCH($B180,Products!$A$5:$A$51,0)),""))</f>
        <v/>
      </c>
      <c r="F180" s="5" t="str">
        <f t="shared" si="6"/>
        <v/>
      </c>
      <c r="G180" s="5" t="str">
        <f t="shared" si="7"/>
        <v/>
      </c>
      <c r="H180" s="5" t="str">
        <f t="shared" si="8"/>
        <v/>
      </c>
    </row>
    <row r="181" spans="1:8" x14ac:dyDescent="0.25">
      <c r="A181" s="6"/>
      <c r="B181" s="3"/>
      <c r="C181" s="3"/>
      <c r="D181" s="5" t="str">
        <f>IF($B181="","",IFERROR(INDEX(Products!$D$5:$D$51,MATCH($B181,Products!$A$5:$A$51,0)),""))</f>
        <v/>
      </c>
      <c r="E181" s="5" t="str">
        <f>IF($B181="","",IFERROR(INDEX(Products!$C$5:$C$51,MATCH($B181,Products!$A$5:$A$51,0)),""))</f>
        <v/>
      </c>
      <c r="F181" s="5" t="str">
        <f t="shared" si="6"/>
        <v/>
      </c>
      <c r="G181" s="5" t="str">
        <f t="shared" si="7"/>
        <v/>
      </c>
      <c r="H181" s="5" t="str">
        <f t="shared" si="8"/>
        <v/>
      </c>
    </row>
    <row r="182" spans="1:8" x14ac:dyDescent="0.25">
      <c r="A182" s="6"/>
      <c r="B182" s="3"/>
      <c r="C182" s="3"/>
      <c r="D182" s="5" t="str">
        <f>IF($B182="","",IFERROR(INDEX(Products!$D$5:$D$51,MATCH($B182,Products!$A$5:$A$51,0)),""))</f>
        <v/>
      </c>
      <c r="E182" s="5" t="str">
        <f>IF($B182="","",IFERROR(INDEX(Products!$C$5:$C$51,MATCH($B182,Products!$A$5:$A$51,0)),""))</f>
        <v/>
      </c>
      <c r="F182" s="5" t="str">
        <f t="shared" si="6"/>
        <v/>
      </c>
      <c r="G182" s="5" t="str">
        <f t="shared" si="7"/>
        <v/>
      </c>
      <c r="H182" s="5" t="str">
        <f t="shared" si="8"/>
        <v/>
      </c>
    </row>
    <row r="183" spans="1:8" x14ac:dyDescent="0.25">
      <c r="A183" s="6"/>
      <c r="B183" s="3"/>
      <c r="C183" s="3"/>
      <c r="D183" s="5" t="str">
        <f>IF($B183="","",IFERROR(INDEX(Products!$D$5:$D$51,MATCH($B183,Products!$A$5:$A$51,0)),""))</f>
        <v/>
      </c>
      <c r="E183" s="5" t="str">
        <f>IF($B183="","",IFERROR(INDEX(Products!$C$5:$C$51,MATCH($B183,Products!$A$5:$A$51,0)),""))</f>
        <v/>
      </c>
      <c r="F183" s="5" t="str">
        <f t="shared" si="6"/>
        <v/>
      </c>
      <c r="G183" s="5" t="str">
        <f t="shared" si="7"/>
        <v/>
      </c>
      <c r="H183" s="5" t="str">
        <f t="shared" si="8"/>
        <v/>
      </c>
    </row>
    <row r="184" spans="1:8" x14ac:dyDescent="0.25">
      <c r="A184" s="6"/>
      <c r="B184" s="3"/>
      <c r="C184" s="3"/>
      <c r="D184" s="5" t="str">
        <f>IF($B184="","",IFERROR(INDEX(Products!$D$5:$D$51,MATCH($B184,Products!$A$5:$A$51,0)),""))</f>
        <v/>
      </c>
      <c r="E184" s="5" t="str">
        <f>IF($B184="","",IFERROR(INDEX(Products!$C$5:$C$51,MATCH($B184,Products!$A$5:$A$51,0)),""))</f>
        <v/>
      </c>
      <c r="F184" s="5" t="str">
        <f t="shared" si="6"/>
        <v/>
      </c>
      <c r="G184" s="5" t="str">
        <f t="shared" si="7"/>
        <v/>
      </c>
      <c r="H184" s="5" t="str">
        <f t="shared" si="8"/>
        <v/>
      </c>
    </row>
    <row r="185" spans="1:8" x14ac:dyDescent="0.25">
      <c r="A185" s="6"/>
      <c r="B185" s="3"/>
      <c r="C185" s="3"/>
      <c r="D185" s="5" t="str">
        <f>IF($B185="","",IFERROR(INDEX(Products!$D$5:$D$51,MATCH($B185,Products!$A$5:$A$51,0)),""))</f>
        <v/>
      </c>
      <c r="E185" s="5" t="str">
        <f>IF($B185="","",IFERROR(INDEX(Products!$C$5:$C$51,MATCH($B185,Products!$A$5:$A$51,0)),""))</f>
        <v/>
      </c>
      <c r="F185" s="5" t="str">
        <f t="shared" si="6"/>
        <v/>
      </c>
      <c r="G185" s="5" t="str">
        <f t="shared" si="7"/>
        <v/>
      </c>
      <c r="H185" s="5" t="str">
        <f t="shared" si="8"/>
        <v/>
      </c>
    </row>
    <row r="186" spans="1:8" x14ac:dyDescent="0.25">
      <c r="A186" s="6"/>
      <c r="B186" s="3"/>
      <c r="C186" s="3"/>
      <c r="D186" s="5" t="str">
        <f>IF($B186="","",IFERROR(INDEX(Products!$D$5:$D$51,MATCH($B186,Products!$A$5:$A$51,0)),""))</f>
        <v/>
      </c>
      <c r="E186" s="5" t="str">
        <f>IF($B186="","",IFERROR(INDEX(Products!$C$5:$C$51,MATCH($B186,Products!$A$5:$A$51,0)),""))</f>
        <v/>
      </c>
      <c r="F186" s="5" t="str">
        <f t="shared" si="6"/>
        <v/>
      </c>
      <c r="G186" s="5" t="str">
        <f t="shared" si="7"/>
        <v/>
      </c>
      <c r="H186" s="5" t="str">
        <f t="shared" si="8"/>
        <v/>
      </c>
    </row>
    <row r="187" spans="1:8" x14ac:dyDescent="0.25">
      <c r="A187" s="6"/>
      <c r="B187" s="3"/>
      <c r="C187" s="3"/>
      <c r="D187" s="5" t="str">
        <f>IF($B187="","",IFERROR(INDEX(Products!$D$5:$D$51,MATCH($B187,Products!$A$5:$A$51,0)),""))</f>
        <v/>
      </c>
      <c r="E187" s="5" t="str">
        <f>IF($B187="","",IFERROR(INDEX(Products!$C$5:$C$51,MATCH($B187,Products!$A$5:$A$51,0)),""))</f>
        <v/>
      </c>
      <c r="F187" s="5" t="str">
        <f t="shared" si="6"/>
        <v/>
      </c>
      <c r="G187" s="5" t="str">
        <f t="shared" si="7"/>
        <v/>
      </c>
      <c r="H187" s="5" t="str">
        <f t="shared" si="8"/>
        <v/>
      </c>
    </row>
    <row r="188" spans="1:8" x14ac:dyDescent="0.25">
      <c r="A188" s="6"/>
      <c r="B188" s="3"/>
      <c r="C188" s="3"/>
      <c r="D188" s="5" t="str">
        <f>IF($B188="","",IFERROR(INDEX(Products!$D$5:$D$51,MATCH($B188,Products!$A$5:$A$51,0)),""))</f>
        <v/>
      </c>
      <c r="E188" s="5" t="str">
        <f>IF($B188="","",IFERROR(INDEX(Products!$C$5:$C$51,MATCH($B188,Products!$A$5:$A$51,0)),""))</f>
        <v/>
      </c>
      <c r="F188" s="5" t="str">
        <f t="shared" si="6"/>
        <v/>
      </c>
      <c r="G188" s="5" t="str">
        <f t="shared" si="7"/>
        <v/>
      </c>
      <c r="H188" s="5" t="str">
        <f t="shared" si="8"/>
        <v/>
      </c>
    </row>
    <row r="189" spans="1:8" x14ac:dyDescent="0.25">
      <c r="A189" s="6"/>
      <c r="B189" s="3"/>
      <c r="C189" s="3"/>
      <c r="D189" s="5" t="str">
        <f>IF($B189="","",IFERROR(INDEX(Products!$D$5:$D$51,MATCH($B189,Products!$A$5:$A$51,0)),""))</f>
        <v/>
      </c>
      <c r="E189" s="5" t="str">
        <f>IF($B189="","",IFERROR(INDEX(Products!$C$5:$C$51,MATCH($B189,Products!$A$5:$A$51,0)),""))</f>
        <v/>
      </c>
      <c r="F189" s="5" t="str">
        <f t="shared" si="6"/>
        <v/>
      </c>
      <c r="G189" s="5" t="str">
        <f t="shared" si="7"/>
        <v/>
      </c>
      <c r="H189" s="5" t="str">
        <f t="shared" si="8"/>
        <v/>
      </c>
    </row>
    <row r="190" spans="1:8" x14ac:dyDescent="0.25">
      <c r="A190" s="6"/>
      <c r="B190" s="3"/>
      <c r="C190" s="3"/>
      <c r="D190" s="5" t="str">
        <f>IF($B190="","",IFERROR(INDEX(Products!$D$5:$D$51,MATCH($B190,Products!$A$5:$A$51,0)),""))</f>
        <v/>
      </c>
      <c r="E190" s="5" t="str">
        <f>IF($B190="","",IFERROR(INDEX(Products!$C$5:$C$51,MATCH($B190,Products!$A$5:$A$51,0)),""))</f>
        <v/>
      </c>
      <c r="F190" s="5" t="str">
        <f t="shared" si="6"/>
        <v/>
      </c>
      <c r="G190" s="5" t="str">
        <f t="shared" si="7"/>
        <v/>
      </c>
      <c r="H190" s="5" t="str">
        <f t="shared" si="8"/>
        <v/>
      </c>
    </row>
    <row r="191" spans="1:8" x14ac:dyDescent="0.25">
      <c r="A191" s="6"/>
      <c r="B191" s="3"/>
      <c r="C191" s="3"/>
      <c r="D191" s="5" t="str">
        <f>IF($B191="","",IFERROR(INDEX(Products!$D$5:$D$51,MATCH($B191,Products!$A$5:$A$51,0)),""))</f>
        <v/>
      </c>
      <c r="E191" s="5" t="str">
        <f>IF($B191="","",IFERROR(INDEX(Products!$C$5:$C$51,MATCH($B191,Products!$A$5:$A$51,0)),""))</f>
        <v/>
      </c>
      <c r="F191" s="5" t="str">
        <f t="shared" si="6"/>
        <v/>
      </c>
      <c r="G191" s="5" t="str">
        <f t="shared" si="7"/>
        <v/>
      </c>
      <c r="H191" s="5" t="str">
        <f t="shared" si="8"/>
        <v/>
      </c>
    </row>
    <row r="192" spans="1:8" x14ac:dyDescent="0.25">
      <c r="A192" s="6"/>
      <c r="B192" s="3"/>
      <c r="C192" s="3"/>
      <c r="D192" s="5" t="str">
        <f>IF($B192="","",IFERROR(INDEX(Products!$D$5:$D$51,MATCH($B192,Products!$A$5:$A$51,0)),""))</f>
        <v/>
      </c>
      <c r="E192" s="5" t="str">
        <f>IF($B192="","",IFERROR(INDEX(Products!$C$5:$C$51,MATCH($B192,Products!$A$5:$A$51,0)),""))</f>
        <v/>
      </c>
      <c r="F192" s="5" t="str">
        <f t="shared" si="6"/>
        <v/>
      </c>
      <c r="G192" s="5" t="str">
        <f t="shared" si="7"/>
        <v/>
      </c>
      <c r="H192" s="5" t="str">
        <f t="shared" si="8"/>
        <v/>
      </c>
    </row>
    <row r="193" spans="1:8" x14ac:dyDescent="0.25">
      <c r="A193" s="6"/>
      <c r="B193" s="3"/>
      <c r="C193" s="3"/>
      <c r="D193" s="5" t="str">
        <f>IF($B193="","",IFERROR(INDEX(Products!$D$5:$D$51,MATCH($B193,Products!$A$5:$A$51,0)),""))</f>
        <v/>
      </c>
      <c r="E193" s="5" t="str">
        <f>IF($B193="","",IFERROR(INDEX(Products!$C$5:$C$51,MATCH($B193,Products!$A$5:$A$51,0)),""))</f>
        <v/>
      </c>
      <c r="F193" s="5" t="str">
        <f t="shared" si="6"/>
        <v/>
      </c>
      <c r="G193" s="5" t="str">
        <f t="shared" si="7"/>
        <v/>
      </c>
      <c r="H193" s="5" t="str">
        <f t="shared" si="8"/>
        <v/>
      </c>
    </row>
    <row r="194" spans="1:8" x14ac:dyDescent="0.25">
      <c r="A194" s="6"/>
      <c r="B194" s="3"/>
      <c r="C194" s="3"/>
      <c r="D194" s="5" t="str">
        <f>IF($B194="","",IFERROR(INDEX(Products!$D$5:$D$51,MATCH($B194,Products!$A$5:$A$51,0)),""))</f>
        <v/>
      </c>
      <c r="E194" s="5" t="str">
        <f>IF($B194="","",IFERROR(INDEX(Products!$C$5:$C$51,MATCH($B194,Products!$A$5:$A$51,0)),""))</f>
        <v/>
      </c>
      <c r="F194" s="5" t="str">
        <f t="shared" si="6"/>
        <v/>
      </c>
      <c r="G194" s="5" t="str">
        <f t="shared" si="7"/>
        <v/>
      </c>
      <c r="H194" s="5" t="str">
        <f t="shared" si="8"/>
        <v/>
      </c>
    </row>
    <row r="195" spans="1:8" x14ac:dyDescent="0.25">
      <c r="A195" s="6"/>
      <c r="B195" s="3"/>
      <c r="C195" s="3"/>
      <c r="D195" s="5" t="str">
        <f>IF($B195="","",IFERROR(INDEX(Products!$D$5:$D$51,MATCH($B195,Products!$A$5:$A$51,0)),""))</f>
        <v/>
      </c>
      <c r="E195" s="5" t="str">
        <f>IF($B195="","",IFERROR(INDEX(Products!$C$5:$C$51,MATCH($B195,Products!$A$5:$A$51,0)),""))</f>
        <v/>
      </c>
      <c r="F195" s="5" t="str">
        <f t="shared" si="6"/>
        <v/>
      </c>
      <c r="G195" s="5" t="str">
        <f t="shared" si="7"/>
        <v/>
      </c>
      <c r="H195" s="5" t="str">
        <f t="shared" si="8"/>
        <v/>
      </c>
    </row>
    <row r="196" spans="1:8" x14ac:dyDescent="0.25">
      <c r="A196" s="6"/>
      <c r="B196" s="3"/>
      <c r="C196" s="3"/>
      <c r="D196" s="5" t="str">
        <f>IF($B196="","",IFERROR(INDEX(Products!$D$5:$D$51,MATCH($B196,Products!$A$5:$A$51,0)),""))</f>
        <v/>
      </c>
      <c r="E196" s="5" t="str">
        <f>IF($B196="","",IFERROR(INDEX(Products!$C$5:$C$51,MATCH($B196,Products!$A$5:$A$51,0)),""))</f>
        <v/>
      </c>
      <c r="F196" s="5" t="str">
        <f t="shared" si="6"/>
        <v/>
      </c>
      <c r="G196" s="5" t="str">
        <f t="shared" si="7"/>
        <v/>
      </c>
      <c r="H196" s="5" t="str">
        <f t="shared" si="8"/>
        <v/>
      </c>
    </row>
    <row r="197" spans="1:8" x14ac:dyDescent="0.25">
      <c r="A197" s="6"/>
      <c r="B197" s="3"/>
      <c r="C197" s="3"/>
      <c r="D197" s="5" t="str">
        <f>IF($B197="","",IFERROR(INDEX(Products!$D$5:$D$51,MATCH($B197,Products!$A$5:$A$51,0)),""))</f>
        <v/>
      </c>
      <c r="E197" s="5" t="str">
        <f>IF($B197="","",IFERROR(INDEX(Products!$C$5:$C$51,MATCH($B197,Products!$A$5:$A$51,0)),""))</f>
        <v/>
      </c>
      <c r="F197" s="5" t="str">
        <f t="shared" ref="F197:F260" si="9">IF($B197="","",$C197*$D197)</f>
        <v/>
      </c>
      <c r="G197" s="5" t="str">
        <f t="shared" ref="G197:G260" si="10">IF($B197="","",$C197*$E197)</f>
        <v/>
      </c>
      <c r="H197" s="5" t="str">
        <f t="shared" ref="H197:H260" si="11">IF($B197="","",$F197-$G197)</f>
        <v/>
      </c>
    </row>
    <row r="198" spans="1:8" x14ac:dyDescent="0.25">
      <c r="A198" s="6"/>
      <c r="B198" s="3"/>
      <c r="C198" s="3"/>
      <c r="D198" s="5" t="str">
        <f>IF($B198="","",IFERROR(INDEX(Products!$D$5:$D$51,MATCH($B198,Products!$A$5:$A$51,0)),""))</f>
        <v/>
      </c>
      <c r="E198" s="5" t="str">
        <f>IF($B198="","",IFERROR(INDEX(Products!$C$5:$C$51,MATCH($B198,Products!$A$5:$A$51,0)),""))</f>
        <v/>
      </c>
      <c r="F198" s="5" t="str">
        <f t="shared" si="9"/>
        <v/>
      </c>
      <c r="G198" s="5" t="str">
        <f t="shared" si="10"/>
        <v/>
      </c>
      <c r="H198" s="5" t="str">
        <f t="shared" si="11"/>
        <v/>
      </c>
    </row>
    <row r="199" spans="1:8" x14ac:dyDescent="0.25">
      <c r="A199" s="6"/>
      <c r="B199" s="3"/>
      <c r="C199" s="3"/>
      <c r="D199" s="5" t="str">
        <f>IF($B199="","",IFERROR(INDEX(Products!$D$5:$D$51,MATCH($B199,Products!$A$5:$A$51,0)),""))</f>
        <v/>
      </c>
      <c r="E199" s="5" t="str">
        <f>IF($B199="","",IFERROR(INDEX(Products!$C$5:$C$51,MATCH($B199,Products!$A$5:$A$51,0)),""))</f>
        <v/>
      </c>
      <c r="F199" s="5" t="str">
        <f t="shared" si="9"/>
        <v/>
      </c>
      <c r="G199" s="5" t="str">
        <f t="shared" si="10"/>
        <v/>
      </c>
      <c r="H199" s="5" t="str">
        <f t="shared" si="11"/>
        <v/>
      </c>
    </row>
    <row r="200" spans="1:8" x14ac:dyDescent="0.25">
      <c r="A200" s="6"/>
      <c r="B200" s="3"/>
      <c r="C200" s="3"/>
      <c r="D200" s="5" t="str">
        <f>IF($B200="","",IFERROR(INDEX(Products!$D$5:$D$51,MATCH($B200,Products!$A$5:$A$51,0)),""))</f>
        <v/>
      </c>
      <c r="E200" s="5" t="str">
        <f>IF($B200="","",IFERROR(INDEX(Products!$C$5:$C$51,MATCH($B200,Products!$A$5:$A$51,0)),""))</f>
        <v/>
      </c>
      <c r="F200" s="5" t="str">
        <f t="shared" si="9"/>
        <v/>
      </c>
      <c r="G200" s="5" t="str">
        <f t="shared" si="10"/>
        <v/>
      </c>
      <c r="H200" s="5" t="str">
        <f t="shared" si="11"/>
        <v/>
      </c>
    </row>
    <row r="201" spans="1:8" x14ac:dyDescent="0.25">
      <c r="A201" s="6"/>
      <c r="B201" s="3"/>
      <c r="C201" s="3"/>
      <c r="D201" s="5" t="str">
        <f>IF($B201="","",IFERROR(INDEX(Products!$D$5:$D$51,MATCH($B201,Products!$A$5:$A$51,0)),""))</f>
        <v/>
      </c>
      <c r="E201" s="5" t="str">
        <f>IF($B201="","",IFERROR(INDEX(Products!$C$5:$C$51,MATCH($B201,Products!$A$5:$A$51,0)),""))</f>
        <v/>
      </c>
      <c r="F201" s="5" t="str">
        <f t="shared" si="9"/>
        <v/>
      </c>
      <c r="G201" s="5" t="str">
        <f t="shared" si="10"/>
        <v/>
      </c>
      <c r="H201" s="5" t="str">
        <f t="shared" si="11"/>
        <v/>
      </c>
    </row>
    <row r="202" spans="1:8" x14ac:dyDescent="0.25">
      <c r="A202" s="6"/>
      <c r="B202" s="3"/>
      <c r="C202" s="3"/>
      <c r="D202" s="5" t="str">
        <f>IF($B202="","",IFERROR(INDEX(Products!$D$5:$D$51,MATCH($B202,Products!$A$5:$A$51,0)),""))</f>
        <v/>
      </c>
      <c r="E202" s="5" t="str">
        <f>IF($B202="","",IFERROR(INDEX(Products!$C$5:$C$51,MATCH($B202,Products!$A$5:$A$51,0)),""))</f>
        <v/>
      </c>
      <c r="F202" s="5" t="str">
        <f t="shared" si="9"/>
        <v/>
      </c>
      <c r="G202" s="5" t="str">
        <f t="shared" si="10"/>
        <v/>
      </c>
      <c r="H202" s="5" t="str">
        <f t="shared" si="11"/>
        <v/>
      </c>
    </row>
    <row r="203" spans="1:8" x14ac:dyDescent="0.25">
      <c r="A203" s="6"/>
      <c r="B203" s="3"/>
      <c r="C203" s="3"/>
      <c r="D203" s="5" t="str">
        <f>IF($B203="","",IFERROR(INDEX(Products!$D$5:$D$51,MATCH($B203,Products!$A$5:$A$51,0)),""))</f>
        <v/>
      </c>
      <c r="E203" s="5" t="str">
        <f>IF($B203="","",IFERROR(INDEX(Products!$C$5:$C$51,MATCH($B203,Products!$A$5:$A$51,0)),""))</f>
        <v/>
      </c>
      <c r="F203" s="5" t="str">
        <f t="shared" si="9"/>
        <v/>
      </c>
      <c r="G203" s="5" t="str">
        <f t="shared" si="10"/>
        <v/>
      </c>
      <c r="H203" s="5" t="str">
        <f t="shared" si="11"/>
        <v/>
      </c>
    </row>
    <row r="204" spans="1:8" x14ac:dyDescent="0.25">
      <c r="A204" s="6"/>
      <c r="B204" s="3"/>
      <c r="C204" s="3"/>
      <c r="D204" s="5" t="str">
        <f>IF($B204="","",IFERROR(INDEX(Products!$D$5:$D$51,MATCH($B204,Products!$A$5:$A$51,0)),""))</f>
        <v/>
      </c>
      <c r="E204" s="5" t="str">
        <f>IF($B204="","",IFERROR(INDEX(Products!$C$5:$C$51,MATCH($B204,Products!$A$5:$A$51,0)),""))</f>
        <v/>
      </c>
      <c r="F204" s="5" t="str">
        <f t="shared" si="9"/>
        <v/>
      </c>
      <c r="G204" s="5" t="str">
        <f t="shared" si="10"/>
        <v/>
      </c>
      <c r="H204" s="5" t="str">
        <f t="shared" si="11"/>
        <v/>
      </c>
    </row>
    <row r="205" spans="1:8" x14ac:dyDescent="0.25">
      <c r="A205" s="6"/>
      <c r="B205" s="3"/>
      <c r="C205" s="3"/>
      <c r="D205" s="5" t="str">
        <f>IF($B205="","",IFERROR(INDEX(Products!$D$5:$D$51,MATCH($B205,Products!$A$5:$A$51,0)),""))</f>
        <v/>
      </c>
      <c r="E205" s="5" t="str">
        <f>IF($B205="","",IFERROR(INDEX(Products!$C$5:$C$51,MATCH($B205,Products!$A$5:$A$51,0)),""))</f>
        <v/>
      </c>
      <c r="F205" s="5" t="str">
        <f t="shared" si="9"/>
        <v/>
      </c>
      <c r="G205" s="5" t="str">
        <f t="shared" si="10"/>
        <v/>
      </c>
      <c r="H205" s="5" t="str">
        <f t="shared" si="11"/>
        <v/>
      </c>
    </row>
    <row r="206" spans="1:8" x14ac:dyDescent="0.25">
      <c r="A206" s="6"/>
      <c r="B206" s="3"/>
      <c r="C206" s="3"/>
      <c r="D206" s="5" t="str">
        <f>IF($B206="","",IFERROR(INDEX(Products!$D$5:$D$51,MATCH($B206,Products!$A$5:$A$51,0)),""))</f>
        <v/>
      </c>
      <c r="E206" s="5" t="str">
        <f>IF($B206="","",IFERROR(INDEX(Products!$C$5:$C$51,MATCH($B206,Products!$A$5:$A$51,0)),""))</f>
        <v/>
      </c>
      <c r="F206" s="5" t="str">
        <f t="shared" si="9"/>
        <v/>
      </c>
      <c r="G206" s="5" t="str">
        <f t="shared" si="10"/>
        <v/>
      </c>
      <c r="H206" s="5" t="str">
        <f t="shared" si="11"/>
        <v/>
      </c>
    </row>
    <row r="207" spans="1:8" x14ac:dyDescent="0.25">
      <c r="A207" s="6"/>
      <c r="B207" s="3"/>
      <c r="C207" s="3"/>
      <c r="D207" s="5" t="str">
        <f>IF($B207="","",IFERROR(INDEX(Products!$D$5:$D$51,MATCH($B207,Products!$A$5:$A$51,0)),""))</f>
        <v/>
      </c>
      <c r="E207" s="5" t="str">
        <f>IF($B207="","",IFERROR(INDEX(Products!$C$5:$C$51,MATCH($B207,Products!$A$5:$A$51,0)),""))</f>
        <v/>
      </c>
      <c r="F207" s="5" t="str">
        <f t="shared" si="9"/>
        <v/>
      </c>
      <c r="G207" s="5" t="str">
        <f t="shared" si="10"/>
        <v/>
      </c>
      <c r="H207" s="5" t="str">
        <f t="shared" si="11"/>
        <v/>
      </c>
    </row>
    <row r="208" spans="1:8" x14ac:dyDescent="0.25">
      <c r="A208" s="6"/>
      <c r="B208" s="3"/>
      <c r="C208" s="3"/>
      <c r="D208" s="5" t="str">
        <f>IF($B208="","",IFERROR(INDEX(Products!$D$5:$D$51,MATCH($B208,Products!$A$5:$A$51,0)),""))</f>
        <v/>
      </c>
      <c r="E208" s="5" t="str">
        <f>IF($B208="","",IFERROR(INDEX(Products!$C$5:$C$51,MATCH($B208,Products!$A$5:$A$51,0)),""))</f>
        <v/>
      </c>
      <c r="F208" s="5" t="str">
        <f t="shared" si="9"/>
        <v/>
      </c>
      <c r="G208" s="5" t="str">
        <f t="shared" si="10"/>
        <v/>
      </c>
      <c r="H208" s="5" t="str">
        <f t="shared" si="11"/>
        <v/>
      </c>
    </row>
    <row r="209" spans="1:8" x14ac:dyDescent="0.25">
      <c r="A209" s="6"/>
      <c r="B209" s="3"/>
      <c r="C209" s="3"/>
      <c r="D209" s="5" t="str">
        <f>IF($B209="","",IFERROR(INDEX(Products!$D$5:$D$51,MATCH($B209,Products!$A$5:$A$51,0)),""))</f>
        <v/>
      </c>
      <c r="E209" s="5" t="str">
        <f>IF($B209="","",IFERROR(INDEX(Products!$C$5:$C$51,MATCH($B209,Products!$A$5:$A$51,0)),""))</f>
        <v/>
      </c>
      <c r="F209" s="5" t="str">
        <f t="shared" si="9"/>
        <v/>
      </c>
      <c r="G209" s="5" t="str">
        <f t="shared" si="10"/>
        <v/>
      </c>
      <c r="H209" s="5" t="str">
        <f t="shared" si="11"/>
        <v/>
      </c>
    </row>
    <row r="210" spans="1:8" x14ac:dyDescent="0.25">
      <c r="A210" s="6"/>
      <c r="B210" s="3"/>
      <c r="C210" s="3"/>
      <c r="D210" s="5" t="str">
        <f>IF($B210="","",IFERROR(INDEX(Products!$D$5:$D$51,MATCH($B210,Products!$A$5:$A$51,0)),""))</f>
        <v/>
      </c>
      <c r="E210" s="5" t="str">
        <f>IF($B210="","",IFERROR(INDEX(Products!$C$5:$C$51,MATCH($B210,Products!$A$5:$A$51,0)),""))</f>
        <v/>
      </c>
      <c r="F210" s="5" t="str">
        <f t="shared" si="9"/>
        <v/>
      </c>
      <c r="G210" s="5" t="str">
        <f t="shared" si="10"/>
        <v/>
      </c>
      <c r="H210" s="5" t="str">
        <f t="shared" si="11"/>
        <v/>
      </c>
    </row>
    <row r="211" spans="1:8" x14ac:dyDescent="0.25">
      <c r="A211" s="6"/>
      <c r="B211" s="3"/>
      <c r="C211" s="3"/>
      <c r="D211" s="5" t="str">
        <f>IF($B211="","",IFERROR(INDEX(Products!$D$5:$D$51,MATCH($B211,Products!$A$5:$A$51,0)),""))</f>
        <v/>
      </c>
      <c r="E211" s="5" t="str">
        <f>IF($B211="","",IFERROR(INDEX(Products!$C$5:$C$51,MATCH($B211,Products!$A$5:$A$51,0)),""))</f>
        <v/>
      </c>
      <c r="F211" s="5" t="str">
        <f t="shared" si="9"/>
        <v/>
      </c>
      <c r="G211" s="5" t="str">
        <f t="shared" si="10"/>
        <v/>
      </c>
      <c r="H211" s="5" t="str">
        <f t="shared" si="11"/>
        <v/>
      </c>
    </row>
    <row r="212" spans="1:8" x14ac:dyDescent="0.25">
      <c r="A212" s="6"/>
      <c r="B212" s="3"/>
      <c r="C212" s="3"/>
      <c r="D212" s="5" t="str">
        <f>IF($B212="","",IFERROR(INDEX(Products!$D$5:$D$51,MATCH($B212,Products!$A$5:$A$51,0)),""))</f>
        <v/>
      </c>
      <c r="E212" s="5" t="str">
        <f>IF($B212="","",IFERROR(INDEX(Products!$C$5:$C$51,MATCH($B212,Products!$A$5:$A$51,0)),""))</f>
        <v/>
      </c>
      <c r="F212" s="5" t="str">
        <f t="shared" si="9"/>
        <v/>
      </c>
      <c r="G212" s="5" t="str">
        <f t="shared" si="10"/>
        <v/>
      </c>
      <c r="H212" s="5" t="str">
        <f t="shared" si="11"/>
        <v/>
      </c>
    </row>
    <row r="213" spans="1:8" x14ac:dyDescent="0.25">
      <c r="A213" s="6"/>
      <c r="B213" s="3"/>
      <c r="C213" s="3"/>
      <c r="D213" s="5" t="str">
        <f>IF($B213="","",IFERROR(INDEX(Products!$D$5:$D$51,MATCH($B213,Products!$A$5:$A$51,0)),""))</f>
        <v/>
      </c>
      <c r="E213" s="5" t="str">
        <f>IF($B213="","",IFERROR(INDEX(Products!$C$5:$C$51,MATCH($B213,Products!$A$5:$A$51,0)),""))</f>
        <v/>
      </c>
      <c r="F213" s="5" t="str">
        <f t="shared" si="9"/>
        <v/>
      </c>
      <c r="G213" s="5" t="str">
        <f t="shared" si="10"/>
        <v/>
      </c>
      <c r="H213" s="5" t="str">
        <f t="shared" si="11"/>
        <v/>
      </c>
    </row>
    <row r="214" spans="1:8" x14ac:dyDescent="0.25">
      <c r="A214" s="6"/>
      <c r="B214" s="3"/>
      <c r="C214" s="3"/>
      <c r="D214" s="5" t="str">
        <f>IF($B214="","",IFERROR(INDEX(Products!$D$5:$D$51,MATCH($B214,Products!$A$5:$A$51,0)),""))</f>
        <v/>
      </c>
      <c r="E214" s="5" t="str">
        <f>IF($B214="","",IFERROR(INDEX(Products!$C$5:$C$51,MATCH($B214,Products!$A$5:$A$51,0)),""))</f>
        <v/>
      </c>
      <c r="F214" s="5" t="str">
        <f t="shared" si="9"/>
        <v/>
      </c>
      <c r="G214" s="5" t="str">
        <f t="shared" si="10"/>
        <v/>
      </c>
      <c r="H214" s="5" t="str">
        <f t="shared" si="11"/>
        <v/>
      </c>
    </row>
    <row r="215" spans="1:8" x14ac:dyDescent="0.25">
      <c r="A215" s="6"/>
      <c r="B215" s="3"/>
      <c r="C215" s="3"/>
      <c r="D215" s="5" t="str">
        <f>IF($B215="","",IFERROR(INDEX(Products!$D$5:$D$51,MATCH($B215,Products!$A$5:$A$51,0)),""))</f>
        <v/>
      </c>
      <c r="E215" s="5" t="str">
        <f>IF($B215="","",IFERROR(INDEX(Products!$C$5:$C$51,MATCH($B215,Products!$A$5:$A$51,0)),""))</f>
        <v/>
      </c>
      <c r="F215" s="5" t="str">
        <f t="shared" si="9"/>
        <v/>
      </c>
      <c r="G215" s="5" t="str">
        <f t="shared" si="10"/>
        <v/>
      </c>
      <c r="H215" s="5" t="str">
        <f t="shared" si="11"/>
        <v/>
      </c>
    </row>
    <row r="216" spans="1:8" x14ac:dyDescent="0.25">
      <c r="A216" s="6"/>
      <c r="B216" s="3"/>
      <c r="C216" s="3"/>
      <c r="D216" s="5" t="str">
        <f>IF($B216="","",IFERROR(INDEX(Products!$D$5:$D$51,MATCH($B216,Products!$A$5:$A$51,0)),""))</f>
        <v/>
      </c>
      <c r="E216" s="5" t="str">
        <f>IF($B216="","",IFERROR(INDEX(Products!$C$5:$C$51,MATCH($B216,Products!$A$5:$A$51,0)),""))</f>
        <v/>
      </c>
      <c r="F216" s="5" t="str">
        <f t="shared" si="9"/>
        <v/>
      </c>
      <c r="G216" s="5" t="str">
        <f t="shared" si="10"/>
        <v/>
      </c>
      <c r="H216" s="5" t="str">
        <f t="shared" si="11"/>
        <v/>
      </c>
    </row>
    <row r="217" spans="1:8" x14ac:dyDescent="0.25">
      <c r="A217" s="6"/>
      <c r="B217" s="3"/>
      <c r="C217" s="3"/>
      <c r="D217" s="5" t="str">
        <f>IF($B217="","",IFERROR(INDEX(Products!$D$5:$D$51,MATCH($B217,Products!$A$5:$A$51,0)),""))</f>
        <v/>
      </c>
      <c r="E217" s="5" t="str">
        <f>IF($B217="","",IFERROR(INDEX(Products!$C$5:$C$51,MATCH($B217,Products!$A$5:$A$51,0)),""))</f>
        <v/>
      </c>
      <c r="F217" s="5" t="str">
        <f t="shared" si="9"/>
        <v/>
      </c>
      <c r="G217" s="5" t="str">
        <f t="shared" si="10"/>
        <v/>
      </c>
      <c r="H217" s="5" t="str">
        <f t="shared" si="11"/>
        <v/>
      </c>
    </row>
    <row r="218" spans="1:8" x14ac:dyDescent="0.25">
      <c r="A218" s="6"/>
      <c r="B218" s="3"/>
      <c r="C218" s="3"/>
      <c r="D218" s="5" t="str">
        <f>IF($B218="","",IFERROR(INDEX(Products!$D$5:$D$51,MATCH($B218,Products!$A$5:$A$51,0)),""))</f>
        <v/>
      </c>
      <c r="E218" s="5" t="str">
        <f>IF($B218="","",IFERROR(INDEX(Products!$C$5:$C$51,MATCH($B218,Products!$A$5:$A$51,0)),""))</f>
        <v/>
      </c>
      <c r="F218" s="5" t="str">
        <f t="shared" si="9"/>
        <v/>
      </c>
      <c r="G218" s="5" t="str">
        <f t="shared" si="10"/>
        <v/>
      </c>
      <c r="H218" s="5" t="str">
        <f t="shared" si="11"/>
        <v/>
      </c>
    </row>
    <row r="219" spans="1:8" x14ac:dyDescent="0.25">
      <c r="A219" s="6"/>
      <c r="B219" s="3"/>
      <c r="C219" s="3"/>
      <c r="D219" s="5" t="str">
        <f>IF($B219="","",IFERROR(INDEX(Products!$D$5:$D$51,MATCH($B219,Products!$A$5:$A$51,0)),""))</f>
        <v/>
      </c>
      <c r="E219" s="5" t="str">
        <f>IF($B219="","",IFERROR(INDEX(Products!$C$5:$C$51,MATCH($B219,Products!$A$5:$A$51,0)),""))</f>
        <v/>
      </c>
      <c r="F219" s="5" t="str">
        <f t="shared" si="9"/>
        <v/>
      </c>
      <c r="G219" s="5" t="str">
        <f t="shared" si="10"/>
        <v/>
      </c>
      <c r="H219" s="5" t="str">
        <f t="shared" si="11"/>
        <v/>
      </c>
    </row>
    <row r="220" spans="1:8" x14ac:dyDescent="0.25">
      <c r="A220" s="6"/>
      <c r="B220" s="3"/>
      <c r="C220" s="3"/>
      <c r="D220" s="5" t="str">
        <f>IF($B220="","",IFERROR(INDEX(Products!$D$5:$D$51,MATCH($B220,Products!$A$5:$A$51,0)),""))</f>
        <v/>
      </c>
      <c r="E220" s="5" t="str">
        <f>IF($B220="","",IFERROR(INDEX(Products!$C$5:$C$51,MATCH($B220,Products!$A$5:$A$51,0)),""))</f>
        <v/>
      </c>
      <c r="F220" s="5" t="str">
        <f t="shared" si="9"/>
        <v/>
      </c>
      <c r="G220" s="5" t="str">
        <f t="shared" si="10"/>
        <v/>
      </c>
      <c r="H220" s="5" t="str">
        <f t="shared" si="11"/>
        <v/>
      </c>
    </row>
    <row r="221" spans="1:8" x14ac:dyDescent="0.25">
      <c r="A221" s="6"/>
      <c r="B221" s="3"/>
      <c r="C221" s="3"/>
      <c r="D221" s="5" t="str">
        <f>IF($B221="","",IFERROR(INDEX(Products!$D$5:$D$51,MATCH($B221,Products!$A$5:$A$51,0)),""))</f>
        <v/>
      </c>
      <c r="E221" s="5" t="str">
        <f>IF($B221="","",IFERROR(INDEX(Products!$C$5:$C$51,MATCH($B221,Products!$A$5:$A$51,0)),""))</f>
        <v/>
      </c>
      <c r="F221" s="5" t="str">
        <f t="shared" si="9"/>
        <v/>
      </c>
      <c r="G221" s="5" t="str">
        <f t="shared" si="10"/>
        <v/>
      </c>
      <c r="H221" s="5" t="str">
        <f t="shared" si="11"/>
        <v/>
      </c>
    </row>
    <row r="222" spans="1:8" x14ac:dyDescent="0.25">
      <c r="A222" s="6"/>
      <c r="B222" s="3"/>
      <c r="C222" s="3"/>
      <c r="D222" s="5" t="str">
        <f>IF($B222="","",IFERROR(INDEX(Products!$D$5:$D$51,MATCH($B222,Products!$A$5:$A$51,0)),""))</f>
        <v/>
      </c>
      <c r="E222" s="5" t="str">
        <f>IF($B222="","",IFERROR(INDEX(Products!$C$5:$C$51,MATCH($B222,Products!$A$5:$A$51,0)),""))</f>
        <v/>
      </c>
      <c r="F222" s="5" t="str">
        <f t="shared" si="9"/>
        <v/>
      </c>
      <c r="G222" s="5" t="str">
        <f t="shared" si="10"/>
        <v/>
      </c>
      <c r="H222" s="5" t="str">
        <f t="shared" si="11"/>
        <v/>
      </c>
    </row>
    <row r="223" spans="1:8" x14ac:dyDescent="0.25">
      <c r="A223" s="6"/>
      <c r="B223" s="3"/>
      <c r="C223" s="3"/>
      <c r="D223" s="5" t="str">
        <f>IF($B223="","",IFERROR(INDEX(Products!$D$5:$D$51,MATCH($B223,Products!$A$5:$A$51,0)),""))</f>
        <v/>
      </c>
      <c r="E223" s="5" t="str">
        <f>IF($B223="","",IFERROR(INDEX(Products!$C$5:$C$51,MATCH($B223,Products!$A$5:$A$51,0)),""))</f>
        <v/>
      </c>
      <c r="F223" s="5" t="str">
        <f t="shared" si="9"/>
        <v/>
      </c>
      <c r="G223" s="5" t="str">
        <f t="shared" si="10"/>
        <v/>
      </c>
      <c r="H223" s="5" t="str">
        <f t="shared" si="11"/>
        <v/>
      </c>
    </row>
    <row r="224" spans="1:8" x14ac:dyDescent="0.25">
      <c r="A224" s="6"/>
      <c r="B224" s="3"/>
      <c r="C224" s="3"/>
      <c r="D224" s="5" t="str">
        <f>IF($B224="","",IFERROR(INDEX(Products!$D$5:$D$51,MATCH($B224,Products!$A$5:$A$51,0)),""))</f>
        <v/>
      </c>
      <c r="E224" s="5" t="str">
        <f>IF($B224="","",IFERROR(INDEX(Products!$C$5:$C$51,MATCH($B224,Products!$A$5:$A$51,0)),""))</f>
        <v/>
      </c>
      <c r="F224" s="5" t="str">
        <f t="shared" si="9"/>
        <v/>
      </c>
      <c r="G224" s="5" t="str">
        <f t="shared" si="10"/>
        <v/>
      </c>
      <c r="H224" s="5" t="str">
        <f t="shared" si="11"/>
        <v/>
      </c>
    </row>
    <row r="225" spans="1:8" x14ac:dyDescent="0.25">
      <c r="A225" s="6"/>
      <c r="B225" s="3"/>
      <c r="C225" s="3"/>
      <c r="D225" s="5" t="str">
        <f>IF($B225="","",IFERROR(INDEX(Products!$D$5:$D$51,MATCH($B225,Products!$A$5:$A$51,0)),""))</f>
        <v/>
      </c>
      <c r="E225" s="5" t="str">
        <f>IF($B225="","",IFERROR(INDEX(Products!$C$5:$C$51,MATCH($B225,Products!$A$5:$A$51,0)),""))</f>
        <v/>
      </c>
      <c r="F225" s="5" t="str">
        <f t="shared" si="9"/>
        <v/>
      </c>
      <c r="G225" s="5" t="str">
        <f t="shared" si="10"/>
        <v/>
      </c>
      <c r="H225" s="5" t="str">
        <f t="shared" si="11"/>
        <v/>
      </c>
    </row>
    <row r="226" spans="1:8" x14ac:dyDescent="0.25">
      <c r="A226" s="6"/>
      <c r="B226" s="3"/>
      <c r="C226" s="3"/>
      <c r="D226" s="5" t="str">
        <f>IF($B226="","",IFERROR(INDEX(Products!$D$5:$D$51,MATCH($B226,Products!$A$5:$A$51,0)),""))</f>
        <v/>
      </c>
      <c r="E226" s="5" t="str">
        <f>IF($B226="","",IFERROR(INDEX(Products!$C$5:$C$51,MATCH($B226,Products!$A$5:$A$51,0)),""))</f>
        <v/>
      </c>
      <c r="F226" s="5" t="str">
        <f t="shared" si="9"/>
        <v/>
      </c>
      <c r="G226" s="5" t="str">
        <f t="shared" si="10"/>
        <v/>
      </c>
      <c r="H226" s="5" t="str">
        <f t="shared" si="11"/>
        <v/>
      </c>
    </row>
    <row r="227" spans="1:8" x14ac:dyDescent="0.25">
      <c r="A227" s="6"/>
      <c r="B227" s="3"/>
      <c r="C227" s="3"/>
      <c r="D227" s="5" t="str">
        <f>IF($B227="","",IFERROR(INDEX(Products!$D$5:$D$51,MATCH($B227,Products!$A$5:$A$51,0)),""))</f>
        <v/>
      </c>
      <c r="E227" s="5" t="str">
        <f>IF($B227="","",IFERROR(INDEX(Products!$C$5:$C$51,MATCH($B227,Products!$A$5:$A$51,0)),""))</f>
        <v/>
      </c>
      <c r="F227" s="5" t="str">
        <f t="shared" si="9"/>
        <v/>
      </c>
      <c r="G227" s="5" t="str">
        <f t="shared" si="10"/>
        <v/>
      </c>
      <c r="H227" s="5" t="str">
        <f t="shared" si="11"/>
        <v/>
      </c>
    </row>
    <row r="228" spans="1:8" x14ac:dyDescent="0.25">
      <c r="A228" s="6"/>
      <c r="B228" s="3"/>
      <c r="C228" s="3"/>
      <c r="D228" s="5" t="str">
        <f>IF($B228="","",IFERROR(INDEX(Products!$D$5:$D$51,MATCH($B228,Products!$A$5:$A$51,0)),""))</f>
        <v/>
      </c>
      <c r="E228" s="5" t="str">
        <f>IF($B228="","",IFERROR(INDEX(Products!$C$5:$C$51,MATCH($B228,Products!$A$5:$A$51,0)),""))</f>
        <v/>
      </c>
      <c r="F228" s="5" t="str">
        <f t="shared" si="9"/>
        <v/>
      </c>
      <c r="G228" s="5" t="str">
        <f t="shared" si="10"/>
        <v/>
      </c>
      <c r="H228" s="5" t="str">
        <f t="shared" si="11"/>
        <v/>
      </c>
    </row>
    <row r="229" spans="1:8" x14ac:dyDescent="0.25">
      <c r="A229" s="6"/>
      <c r="B229" s="3"/>
      <c r="C229" s="3"/>
      <c r="D229" s="5" t="str">
        <f>IF($B229="","",IFERROR(INDEX(Products!$D$5:$D$51,MATCH($B229,Products!$A$5:$A$51,0)),""))</f>
        <v/>
      </c>
      <c r="E229" s="5" t="str">
        <f>IF($B229="","",IFERROR(INDEX(Products!$C$5:$C$51,MATCH($B229,Products!$A$5:$A$51,0)),""))</f>
        <v/>
      </c>
      <c r="F229" s="5" t="str">
        <f t="shared" si="9"/>
        <v/>
      </c>
      <c r="G229" s="5" t="str">
        <f t="shared" si="10"/>
        <v/>
      </c>
      <c r="H229" s="5" t="str">
        <f t="shared" si="11"/>
        <v/>
      </c>
    </row>
    <row r="230" spans="1:8" x14ac:dyDescent="0.25">
      <c r="A230" s="6"/>
      <c r="B230" s="3"/>
      <c r="C230" s="3"/>
      <c r="D230" s="5" t="str">
        <f>IF($B230="","",IFERROR(INDEX(Products!$D$5:$D$51,MATCH($B230,Products!$A$5:$A$51,0)),""))</f>
        <v/>
      </c>
      <c r="E230" s="5" t="str">
        <f>IF($B230="","",IFERROR(INDEX(Products!$C$5:$C$51,MATCH($B230,Products!$A$5:$A$51,0)),""))</f>
        <v/>
      </c>
      <c r="F230" s="5" t="str">
        <f t="shared" si="9"/>
        <v/>
      </c>
      <c r="G230" s="5" t="str">
        <f t="shared" si="10"/>
        <v/>
      </c>
      <c r="H230" s="5" t="str">
        <f t="shared" si="11"/>
        <v/>
      </c>
    </row>
    <row r="231" spans="1:8" x14ac:dyDescent="0.25">
      <c r="A231" s="6"/>
      <c r="B231" s="3"/>
      <c r="C231" s="3"/>
      <c r="D231" s="5" t="str">
        <f>IF($B231="","",IFERROR(INDEX(Products!$D$5:$D$51,MATCH($B231,Products!$A$5:$A$51,0)),""))</f>
        <v/>
      </c>
      <c r="E231" s="5" t="str">
        <f>IF($B231="","",IFERROR(INDEX(Products!$C$5:$C$51,MATCH($B231,Products!$A$5:$A$51,0)),""))</f>
        <v/>
      </c>
      <c r="F231" s="5" t="str">
        <f t="shared" si="9"/>
        <v/>
      </c>
      <c r="G231" s="5" t="str">
        <f t="shared" si="10"/>
        <v/>
      </c>
      <c r="H231" s="5" t="str">
        <f t="shared" si="11"/>
        <v/>
      </c>
    </row>
    <row r="232" spans="1:8" x14ac:dyDescent="0.25">
      <c r="A232" s="6"/>
      <c r="B232" s="3"/>
      <c r="C232" s="3"/>
      <c r="D232" s="5" t="str">
        <f>IF($B232="","",IFERROR(INDEX(Products!$D$5:$D$51,MATCH($B232,Products!$A$5:$A$51,0)),""))</f>
        <v/>
      </c>
      <c r="E232" s="5" t="str">
        <f>IF($B232="","",IFERROR(INDEX(Products!$C$5:$C$51,MATCH($B232,Products!$A$5:$A$51,0)),""))</f>
        <v/>
      </c>
      <c r="F232" s="5" t="str">
        <f t="shared" si="9"/>
        <v/>
      </c>
      <c r="G232" s="5" t="str">
        <f t="shared" si="10"/>
        <v/>
      </c>
      <c r="H232" s="5" t="str">
        <f t="shared" si="11"/>
        <v/>
      </c>
    </row>
    <row r="233" spans="1:8" x14ac:dyDescent="0.25">
      <c r="A233" s="6"/>
      <c r="B233" s="3"/>
      <c r="C233" s="3"/>
      <c r="D233" s="5" t="str">
        <f>IF($B233="","",IFERROR(INDEX(Products!$D$5:$D$51,MATCH($B233,Products!$A$5:$A$51,0)),""))</f>
        <v/>
      </c>
      <c r="E233" s="5" t="str">
        <f>IF($B233="","",IFERROR(INDEX(Products!$C$5:$C$51,MATCH($B233,Products!$A$5:$A$51,0)),""))</f>
        <v/>
      </c>
      <c r="F233" s="5" t="str">
        <f t="shared" si="9"/>
        <v/>
      </c>
      <c r="G233" s="5" t="str">
        <f t="shared" si="10"/>
        <v/>
      </c>
      <c r="H233" s="5" t="str">
        <f t="shared" si="11"/>
        <v/>
      </c>
    </row>
    <row r="234" spans="1:8" x14ac:dyDescent="0.25">
      <c r="A234" s="6"/>
      <c r="B234" s="3"/>
      <c r="C234" s="3"/>
      <c r="D234" s="5" t="str">
        <f>IF($B234="","",IFERROR(INDEX(Products!$D$5:$D$51,MATCH($B234,Products!$A$5:$A$51,0)),""))</f>
        <v/>
      </c>
      <c r="E234" s="5" t="str">
        <f>IF($B234="","",IFERROR(INDEX(Products!$C$5:$C$51,MATCH($B234,Products!$A$5:$A$51,0)),""))</f>
        <v/>
      </c>
      <c r="F234" s="5" t="str">
        <f t="shared" si="9"/>
        <v/>
      </c>
      <c r="G234" s="5" t="str">
        <f t="shared" si="10"/>
        <v/>
      </c>
      <c r="H234" s="5" t="str">
        <f t="shared" si="11"/>
        <v/>
      </c>
    </row>
    <row r="235" spans="1:8" x14ac:dyDescent="0.25">
      <c r="A235" s="6"/>
      <c r="B235" s="3"/>
      <c r="C235" s="3"/>
      <c r="D235" s="5" t="str">
        <f>IF($B235="","",IFERROR(INDEX(Products!$D$5:$D$51,MATCH($B235,Products!$A$5:$A$51,0)),""))</f>
        <v/>
      </c>
      <c r="E235" s="5" t="str">
        <f>IF($B235="","",IFERROR(INDEX(Products!$C$5:$C$51,MATCH($B235,Products!$A$5:$A$51,0)),""))</f>
        <v/>
      </c>
      <c r="F235" s="5" t="str">
        <f t="shared" si="9"/>
        <v/>
      </c>
      <c r="G235" s="5" t="str">
        <f t="shared" si="10"/>
        <v/>
      </c>
      <c r="H235" s="5" t="str">
        <f t="shared" si="11"/>
        <v/>
      </c>
    </row>
    <row r="236" spans="1:8" x14ac:dyDescent="0.25">
      <c r="A236" s="6"/>
      <c r="B236" s="3"/>
      <c r="C236" s="3"/>
      <c r="D236" s="5" t="str">
        <f>IF($B236="","",IFERROR(INDEX(Products!$D$5:$D$51,MATCH($B236,Products!$A$5:$A$51,0)),""))</f>
        <v/>
      </c>
      <c r="E236" s="5" t="str">
        <f>IF($B236="","",IFERROR(INDEX(Products!$C$5:$C$51,MATCH($B236,Products!$A$5:$A$51,0)),""))</f>
        <v/>
      </c>
      <c r="F236" s="5" t="str">
        <f t="shared" si="9"/>
        <v/>
      </c>
      <c r="G236" s="5" t="str">
        <f t="shared" si="10"/>
        <v/>
      </c>
      <c r="H236" s="5" t="str">
        <f t="shared" si="11"/>
        <v/>
      </c>
    </row>
    <row r="237" spans="1:8" x14ac:dyDescent="0.25">
      <c r="A237" s="6"/>
      <c r="B237" s="3"/>
      <c r="C237" s="3"/>
      <c r="D237" s="5" t="str">
        <f>IF($B237="","",IFERROR(INDEX(Products!$D$5:$D$51,MATCH($B237,Products!$A$5:$A$51,0)),""))</f>
        <v/>
      </c>
      <c r="E237" s="5" t="str">
        <f>IF($B237="","",IFERROR(INDEX(Products!$C$5:$C$51,MATCH($B237,Products!$A$5:$A$51,0)),""))</f>
        <v/>
      </c>
      <c r="F237" s="5" t="str">
        <f t="shared" si="9"/>
        <v/>
      </c>
      <c r="G237" s="5" t="str">
        <f t="shared" si="10"/>
        <v/>
      </c>
      <c r="H237" s="5" t="str">
        <f t="shared" si="11"/>
        <v/>
      </c>
    </row>
    <row r="238" spans="1:8" x14ac:dyDescent="0.25">
      <c r="A238" s="6"/>
      <c r="B238" s="3"/>
      <c r="C238" s="3"/>
      <c r="D238" s="5" t="str">
        <f>IF($B238="","",IFERROR(INDEX(Products!$D$5:$D$51,MATCH($B238,Products!$A$5:$A$51,0)),""))</f>
        <v/>
      </c>
      <c r="E238" s="5" t="str">
        <f>IF($B238="","",IFERROR(INDEX(Products!$C$5:$C$51,MATCH($B238,Products!$A$5:$A$51,0)),""))</f>
        <v/>
      </c>
      <c r="F238" s="5" t="str">
        <f t="shared" si="9"/>
        <v/>
      </c>
      <c r="G238" s="5" t="str">
        <f t="shared" si="10"/>
        <v/>
      </c>
      <c r="H238" s="5" t="str">
        <f t="shared" si="11"/>
        <v/>
      </c>
    </row>
    <row r="239" spans="1:8" x14ac:dyDescent="0.25">
      <c r="A239" s="6"/>
      <c r="B239" s="3"/>
      <c r="C239" s="3"/>
      <c r="D239" s="5" t="str">
        <f>IF($B239="","",IFERROR(INDEX(Products!$D$5:$D$51,MATCH($B239,Products!$A$5:$A$51,0)),""))</f>
        <v/>
      </c>
      <c r="E239" s="5" t="str">
        <f>IF($B239="","",IFERROR(INDEX(Products!$C$5:$C$51,MATCH($B239,Products!$A$5:$A$51,0)),""))</f>
        <v/>
      </c>
      <c r="F239" s="5" t="str">
        <f t="shared" si="9"/>
        <v/>
      </c>
      <c r="G239" s="5" t="str">
        <f t="shared" si="10"/>
        <v/>
      </c>
      <c r="H239" s="5" t="str">
        <f t="shared" si="11"/>
        <v/>
      </c>
    </row>
    <row r="240" spans="1:8" x14ac:dyDescent="0.25">
      <c r="A240" s="6"/>
      <c r="B240" s="3"/>
      <c r="C240" s="3"/>
      <c r="D240" s="5" t="str">
        <f>IF($B240="","",IFERROR(INDEX(Products!$D$5:$D$51,MATCH($B240,Products!$A$5:$A$51,0)),""))</f>
        <v/>
      </c>
      <c r="E240" s="5" t="str">
        <f>IF($B240="","",IFERROR(INDEX(Products!$C$5:$C$51,MATCH($B240,Products!$A$5:$A$51,0)),""))</f>
        <v/>
      </c>
      <c r="F240" s="5" t="str">
        <f t="shared" si="9"/>
        <v/>
      </c>
      <c r="G240" s="5" t="str">
        <f t="shared" si="10"/>
        <v/>
      </c>
      <c r="H240" s="5" t="str">
        <f t="shared" si="11"/>
        <v/>
      </c>
    </row>
    <row r="241" spans="1:8" x14ac:dyDescent="0.25">
      <c r="A241" s="6"/>
      <c r="B241" s="3"/>
      <c r="C241" s="3"/>
      <c r="D241" s="5" t="str">
        <f>IF($B241="","",IFERROR(INDEX(Products!$D$5:$D$51,MATCH($B241,Products!$A$5:$A$51,0)),""))</f>
        <v/>
      </c>
      <c r="E241" s="5" t="str">
        <f>IF($B241="","",IFERROR(INDEX(Products!$C$5:$C$51,MATCH($B241,Products!$A$5:$A$51,0)),""))</f>
        <v/>
      </c>
      <c r="F241" s="5" t="str">
        <f t="shared" si="9"/>
        <v/>
      </c>
      <c r="G241" s="5" t="str">
        <f t="shared" si="10"/>
        <v/>
      </c>
      <c r="H241" s="5" t="str">
        <f t="shared" si="11"/>
        <v/>
      </c>
    </row>
    <row r="242" spans="1:8" x14ac:dyDescent="0.25">
      <c r="A242" s="6"/>
      <c r="B242" s="3"/>
      <c r="C242" s="3"/>
      <c r="D242" s="5" t="str">
        <f>IF($B242="","",IFERROR(INDEX(Products!$D$5:$D$51,MATCH($B242,Products!$A$5:$A$51,0)),""))</f>
        <v/>
      </c>
      <c r="E242" s="5" t="str">
        <f>IF($B242="","",IFERROR(INDEX(Products!$C$5:$C$51,MATCH($B242,Products!$A$5:$A$51,0)),""))</f>
        <v/>
      </c>
      <c r="F242" s="5" t="str">
        <f t="shared" si="9"/>
        <v/>
      </c>
      <c r="G242" s="5" t="str">
        <f t="shared" si="10"/>
        <v/>
      </c>
      <c r="H242" s="5" t="str">
        <f t="shared" si="11"/>
        <v/>
      </c>
    </row>
    <row r="243" spans="1:8" x14ac:dyDescent="0.25">
      <c r="A243" s="6"/>
      <c r="B243" s="3"/>
      <c r="C243" s="3"/>
      <c r="D243" s="5" t="str">
        <f>IF($B243="","",IFERROR(INDEX(Products!$D$5:$D$51,MATCH($B243,Products!$A$5:$A$51,0)),""))</f>
        <v/>
      </c>
      <c r="E243" s="5" t="str">
        <f>IF($B243="","",IFERROR(INDEX(Products!$C$5:$C$51,MATCH($B243,Products!$A$5:$A$51,0)),""))</f>
        <v/>
      </c>
      <c r="F243" s="5" t="str">
        <f t="shared" si="9"/>
        <v/>
      </c>
      <c r="G243" s="5" t="str">
        <f t="shared" si="10"/>
        <v/>
      </c>
      <c r="H243" s="5" t="str">
        <f t="shared" si="11"/>
        <v/>
      </c>
    </row>
    <row r="244" spans="1:8" x14ac:dyDescent="0.25">
      <c r="A244" s="6"/>
      <c r="B244" s="3"/>
      <c r="C244" s="3"/>
      <c r="D244" s="5" t="str">
        <f>IF($B244="","",IFERROR(INDEX(Products!$D$5:$D$51,MATCH($B244,Products!$A$5:$A$51,0)),""))</f>
        <v/>
      </c>
      <c r="E244" s="5" t="str">
        <f>IF($B244="","",IFERROR(INDEX(Products!$C$5:$C$51,MATCH($B244,Products!$A$5:$A$51,0)),""))</f>
        <v/>
      </c>
      <c r="F244" s="5" t="str">
        <f t="shared" si="9"/>
        <v/>
      </c>
      <c r="G244" s="5" t="str">
        <f t="shared" si="10"/>
        <v/>
      </c>
      <c r="H244" s="5" t="str">
        <f t="shared" si="11"/>
        <v/>
      </c>
    </row>
    <row r="245" spans="1:8" x14ac:dyDescent="0.25">
      <c r="A245" s="6"/>
      <c r="B245" s="3"/>
      <c r="C245" s="3"/>
      <c r="D245" s="5" t="str">
        <f>IF($B245="","",IFERROR(INDEX(Products!$D$5:$D$51,MATCH($B245,Products!$A$5:$A$51,0)),""))</f>
        <v/>
      </c>
      <c r="E245" s="5" t="str">
        <f>IF($B245="","",IFERROR(INDEX(Products!$C$5:$C$51,MATCH($B245,Products!$A$5:$A$51,0)),""))</f>
        <v/>
      </c>
      <c r="F245" s="5" t="str">
        <f t="shared" si="9"/>
        <v/>
      </c>
      <c r="G245" s="5" t="str">
        <f t="shared" si="10"/>
        <v/>
      </c>
      <c r="H245" s="5" t="str">
        <f t="shared" si="11"/>
        <v/>
      </c>
    </row>
    <row r="246" spans="1:8" x14ac:dyDescent="0.25">
      <c r="A246" s="6"/>
      <c r="B246" s="3"/>
      <c r="C246" s="3"/>
      <c r="D246" s="5" t="str">
        <f>IF($B246="","",IFERROR(INDEX(Products!$D$5:$D$51,MATCH($B246,Products!$A$5:$A$51,0)),""))</f>
        <v/>
      </c>
      <c r="E246" s="5" t="str">
        <f>IF($B246="","",IFERROR(INDEX(Products!$C$5:$C$51,MATCH($B246,Products!$A$5:$A$51,0)),""))</f>
        <v/>
      </c>
      <c r="F246" s="5" t="str">
        <f t="shared" si="9"/>
        <v/>
      </c>
      <c r="G246" s="5" t="str">
        <f t="shared" si="10"/>
        <v/>
      </c>
      <c r="H246" s="5" t="str">
        <f t="shared" si="11"/>
        <v/>
      </c>
    </row>
    <row r="247" spans="1:8" x14ac:dyDescent="0.25">
      <c r="A247" s="6"/>
      <c r="B247" s="3"/>
      <c r="C247" s="3"/>
      <c r="D247" s="5" t="str">
        <f>IF($B247="","",IFERROR(INDEX(Products!$D$5:$D$51,MATCH($B247,Products!$A$5:$A$51,0)),""))</f>
        <v/>
      </c>
      <c r="E247" s="5" t="str">
        <f>IF($B247="","",IFERROR(INDEX(Products!$C$5:$C$51,MATCH($B247,Products!$A$5:$A$51,0)),""))</f>
        <v/>
      </c>
      <c r="F247" s="5" t="str">
        <f t="shared" si="9"/>
        <v/>
      </c>
      <c r="G247" s="5" t="str">
        <f t="shared" si="10"/>
        <v/>
      </c>
      <c r="H247" s="5" t="str">
        <f t="shared" si="11"/>
        <v/>
      </c>
    </row>
    <row r="248" spans="1:8" x14ac:dyDescent="0.25">
      <c r="A248" s="6"/>
      <c r="B248" s="3"/>
      <c r="C248" s="3"/>
      <c r="D248" s="5" t="str">
        <f>IF($B248="","",IFERROR(INDEX(Products!$D$5:$D$51,MATCH($B248,Products!$A$5:$A$51,0)),""))</f>
        <v/>
      </c>
      <c r="E248" s="5" t="str">
        <f>IF($B248="","",IFERROR(INDEX(Products!$C$5:$C$51,MATCH($B248,Products!$A$5:$A$51,0)),""))</f>
        <v/>
      </c>
      <c r="F248" s="5" t="str">
        <f t="shared" si="9"/>
        <v/>
      </c>
      <c r="G248" s="5" t="str">
        <f t="shared" si="10"/>
        <v/>
      </c>
      <c r="H248" s="5" t="str">
        <f t="shared" si="11"/>
        <v/>
      </c>
    </row>
    <row r="249" spans="1:8" x14ac:dyDescent="0.25">
      <c r="A249" s="6"/>
      <c r="B249" s="3"/>
      <c r="C249" s="3"/>
      <c r="D249" s="5" t="str">
        <f>IF($B249="","",IFERROR(INDEX(Products!$D$5:$D$51,MATCH($B249,Products!$A$5:$A$51,0)),""))</f>
        <v/>
      </c>
      <c r="E249" s="5" t="str">
        <f>IF($B249="","",IFERROR(INDEX(Products!$C$5:$C$51,MATCH($B249,Products!$A$5:$A$51,0)),""))</f>
        <v/>
      </c>
      <c r="F249" s="5" t="str">
        <f t="shared" si="9"/>
        <v/>
      </c>
      <c r="G249" s="5" t="str">
        <f t="shared" si="10"/>
        <v/>
      </c>
      <c r="H249" s="5" t="str">
        <f t="shared" si="11"/>
        <v/>
      </c>
    </row>
    <row r="250" spans="1:8" x14ac:dyDescent="0.25">
      <c r="A250" s="6"/>
      <c r="B250" s="3"/>
      <c r="C250" s="3"/>
      <c r="D250" s="5" t="str">
        <f>IF($B250="","",IFERROR(INDEX(Products!$D$5:$D$51,MATCH($B250,Products!$A$5:$A$51,0)),""))</f>
        <v/>
      </c>
      <c r="E250" s="5" t="str">
        <f>IF($B250="","",IFERROR(INDEX(Products!$C$5:$C$51,MATCH($B250,Products!$A$5:$A$51,0)),""))</f>
        <v/>
      </c>
      <c r="F250" s="5" t="str">
        <f t="shared" si="9"/>
        <v/>
      </c>
      <c r="G250" s="5" t="str">
        <f t="shared" si="10"/>
        <v/>
      </c>
      <c r="H250" s="5" t="str">
        <f t="shared" si="11"/>
        <v/>
      </c>
    </row>
    <row r="251" spans="1:8" x14ac:dyDescent="0.25">
      <c r="A251" s="6"/>
      <c r="B251" s="3"/>
      <c r="C251" s="3"/>
      <c r="D251" s="5" t="str">
        <f>IF($B251="","",IFERROR(INDEX(Products!$D$5:$D$51,MATCH($B251,Products!$A$5:$A$51,0)),""))</f>
        <v/>
      </c>
      <c r="E251" s="5" t="str">
        <f>IF($B251="","",IFERROR(INDEX(Products!$C$5:$C$51,MATCH($B251,Products!$A$5:$A$51,0)),""))</f>
        <v/>
      </c>
      <c r="F251" s="5" t="str">
        <f t="shared" si="9"/>
        <v/>
      </c>
      <c r="G251" s="5" t="str">
        <f t="shared" si="10"/>
        <v/>
      </c>
      <c r="H251" s="5" t="str">
        <f t="shared" si="11"/>
        <v/>
      </c>
    </row>
    <row r="252" spans="1:8" x14ac:dyDescent="0.25">
      <c r="A252" s="6"/>
      <c r="B252" s="3"/>
      <c r="C252" s="3"/>
      <c r="D252" s="5" t="str">
        <f>IF($B252="","",IFERROR(INDEX(Products!$D$5:$D$51,MATCH($B252,Products!$A$5:$A$51,0)),""))</f>
        <v/>
      </c>
      <c r="E252" s="5" t="str">
        <f>IF($B252="","",IFERROR(INDEX(Products!$C$5:$C$51,MATCH($B252,Products!$A$5:$A$51,0)),""))</f>
        <v/>
      </c>
      <c r="F252" s="5" t="str">
        <f t="shared" si="9"/>
        <v/>
      </c>
      <c r="G252" s="5" t="str">
        <f t="shared" si="10"/>
        <v/>
      </c>
      <c r="H252" s="5" t="str">
        <f t="shared" si="11"/>
        <v/>
      </c>
    </row>
    <row r="253" spans="1:8" x14ac:dyDescent="0.25">
      <c r="A253" s="6"/>
      <c r="B253" s="3"/>
      <c r="C253" s="3"/>
      <c r="D253" s="5" t="str">
        <f>IF($B253="","",IFERROR(INDEX(Products!$D$5:$D$51,MATCH($B253,Products!$A$5:$A$51,0)),""))</f>
        <v/>
      </c>
      <c r="E253" s="5" t="str">
        <f>IF($B253="","",IFERROR(INDEX(Products!$C$5:$C$51,MATCH($B253,Products!$A$5:$A$51,0)),""))</f>
        <v/>
      </c>
      <c r="F253" s="5" t="str">
        <f t="shared" si="9"/>
        <v/>
      </c>
      <c r="G253" s="5" t="str">
        <f t="shared" si="10"/>
        <v/>
      </c>
      <c r="H253" s="5" t="str">
        <f t="shared" si="11"/>
        <v/>
      </c>
    </row>
    <row r="254" spans="1:8" x14ac:dyDescent="0.25">
      <c r="A254" s="6"/>
      <c r="B254" s="3"/>
      <c r="C254" s="3"/>
      <c r="D254" s="5" t="str">
        <f>IF($B254="","",IFERROR(INDEX(Products!$D$5:$D$51,MATCH($B254,Products!$A$5:$A$51,0)),""))</f>
        <v/>
      </c>
      <c r="E254" s="5" t="str">
        <f>IF($B254="","",IFERROR(INDEX(Products!$C$5:$C$51,MATCH($B254,Products!$A$5:$A$51,0)),""))</f>
        <v/>
      </c>
      <c r="F254" s="5" t="str">
        <f t="shared" si="9"/>
        <v/>
      </c>
      <c r="G254" s="5" t="str">
        <f t="shared" si="10"/>
        <v/>
      </c>
      <c r="H254" s="5" t="str">
        <f t="shared" si="11"/>
        <v/>
      </c>
    </row>
    <row r="255" spans="1:8" x14ac:dyDescent="0.25">
      <c r="A255" s="6"/>
      <c r="B255" s="3"/>
      <c r="C255" s="3"/>
      <c r="D255" s="5" t="str">
        <f>IF($B255="","",IFERROR(INDEX(Products!$D$5:$D$51,MATCH($B255,Products!$A$5:$A$51,0)),""))</f>
        <v/>
      </c>
      <c r="E255" s="5" t="str">
        <f>IF($B255="","",IFERROR(INDEX(Products!$C$5:$C$51,MATCH($B255,Products!$A$5:$A$51,0)),""))</f>
        <v/>
      </c>
      <c r="F255" s="5" t="str">
        <f t="shared" si="9"/>
        <v/>
      </c>
      <c r="G255" s="5" t="str">
        <f t="shared" si="10"/>
        <v/>
      </c>
      <c r="H255" s="5" t="str">
        <f t="shared" si="11"/>
        <v/>
      </c>
    </row>
    <row r="256" spans="1:8" x14ac:dyDescent="0.25">
      <c r="A256" s="6"/>
      <c r="B256" s="3"/>
      <c r="C256" s="3"/>
      <c r="D256" s="5" t="str">
        <f>IF($B256="","",IFERROR(INDEX(Products!$D$5:$D$51,MATCH($B256,Products!$A$5:$A$51,0)),""))</f>
        <v/>
      </c>
      <c r="E256" s="5" t="str">
        <f>IF($B256="","",IFERROR(INDEX(Products!$C$5:$C$51,MATCH($B256,Products!$A$5:$A$51,0)),""))</f>
        <v/>
      </c>
      <c r="F256" s="5" t="str">
        <f t="shared" si="9"/>
        <v/>
      </c>
      <c r="G256" s="5" t="str">
        <f t="shared" si="10"/>
        <v/>
      </c>
      <c r="H256" s="5" t="str">
        <f t="shared" si="11"/>
        <v/>
      </c>
    </row>
    <row r="257" spans="1:8" x14ac:dyDescent="0.25">
      <c r="A257" s="6"/>
      <c r="B257" s="3"/>
      <c r="C257" s="3"/>
      <c r="D257" s="5" t="str">
        <f>IF($B257="","",IFERROR(INDEX(Products!$D$5:$D$51,MATCH($B257,Products!$A$5:$A$51,0)),""))</f>
        <v/>
      </c>
      <c r="E257" s="5" t="str">
        <f>IF($B257="","",IFERROR(INDEX(Products!$C$5:$C$51,MATCH($B257,Products!$A$5:$A$51,0)),""))</f>
        <v/>
      </c>
      <c r="F257" s="5" t="str">
        <f t="shared" si="9"/>
        <v/>
      </c>
      <c r="G257" s="5" t="str">
        <f t="shared" si="10"/>
        <v/>
      </c>
      <c r="H257" s="5" t="str">
        <f t="shared" si="11"/>
        <v/>
      </c>
    </row>
    <row r="258" spans="1:8" x14ac:dyDescent="0.25">
      <c r="A258" s="6"/>
      <c r="B258" s="3"/>
      <c r="C258" s="3"/>
      <c r="D258" s="5" t="str">
        <f>IF($B258="","",IFERROR(INDEX(Products!$D$5:$D$51,MATCH($B258,Products!$A$5:$A$51,0)),""))</f>
        <v/>
      </c>
      <c r="E258" s="5" t="str">
        <f>IF($B258="","",IFERROR(INDEX(Products!$C$5:$C$51,MATCH($B258,Products!$A$5:$A$51,0)),""))</f>
        <v/>
      </c>
      <c r="F258" s="5" t="str">
        <f t="shared" si="9"/>
        <v/>
      </c>
      <c r="G258" s="5" t="str">
        <f t="shared" si="10"/>
        <v/>
      </c>
      <c r="H258" s="5" t="str">
        <f t="shared" si="11"/>
        <v/>
      </c>
    </row>
    <row r="259" spans="1:8" x14ac:dyDescent="0.25">
      <c r="A259" s="6"/>
      <c r="B259" s="3"/>
      <c r="C259" s="3"/>
      <c r="D259" s="5" t="str">
        <f>IF($B259="","",IFERROR(INDEX(Products!$D$5:$D$51,MATCH($B259,Products!$A$5:$A$51,0)),""))</f>
        <v/>
      </c>
      <c r="E259" s="5" t="str">
        <f>IF($B259="","",IFERROR(INDEX(Products!$C$5:$C$51,MATCH($B259,Products!$A$5:$A$51,0)),""))</f>
        <v/>
      </c>
      <c r="F259" s="5" t="str">
        <f t="shared" si="9"/>
        <v/>
      </c>
      <c r="G259" s="5" t="str">
        <f t="shared" si="10"/>
        <v/>
      </c>
      <c r="H259" s="5" t="str">
        <f t="shared" si="11"/>
        <v/>
      </c>
    </row>
    <row r="260" spans="1:8" x14ac:dyDescent="0.25">
      <c r="A260" s="6"/>
      <c r="B260" s="3"/>
      <c r="C260" s="3"/>
      <c r="D260" s="5" t="str">
        <f>IF($B260="","",IFERROR(INDEX(Products!$D$5:$D$51,MATCH($B260,Products!$A$5:$A$51,0)),""))</f>
        <v/>
      </c>
      <c r="E260" s="5" t="str">
        <f>IF($B260="","",IFERROR(INDEX(Products!$C$5:$C$51,MATCH($B260,Products!$A$5:$A$51,0)),""))</f>
        <v/>
      </c>
      <c r="F260" s="5" t="str">
        <f t="shared" si="9"/>
        <v/>
      </c>
      <c r="G260" s="5" t="str">
        <f t="shared" si="10"/>
        <v/>
      </c>
      <c r="H260" s="5" t="str">
        <f t="shared" si="11"/>
        <v/>
      </c>
    </row>
    <row r="261" spans="1:8" x14ac:dyDescent="0.25">
      <c r="A261" s="6"/>
      <c r="B261" s="3"/>
      <c r="C261" s="3"/>
      <c r="D261" s="5" t="str">
        <f>IF($B261="","",IFERROR(INDEX(Products!$D$5:$D$51,MATCH($B261,Products!$A$5:$A$51,0)),""))</f>
        <v/>
      </c>
      <c r="E261" s="5" t="str">
        <f>IF($B261="","",IFERROR(INDEX(Products!$C$5:$C$51,MATCH($B261,Products!$A$5:$A$51,0)),""))</f>
        <v/>
      </c>
      <c r="F261" s="5" t="str">
        <f t="shared" ref="F261:F300" si="12">IF($B261="","",$C261*$D261)</f>
        <v/>
      </c>
      <c r="G261" s="5" t="str">
        <f t="shared" ref="G261:G300" si="13">IF($B261="","",$C261*$E261)</f>
        <v/>
      </c>
      <c r="H261" s="5" t="str">
        <f t="shared" ref="H261:H300" si="14">IF($B261="","",$F261-$G261)</f>
        <v/>
      </c>
    </row>
    <row r="262" spans="1:8" x14ac:dyDescent="0.25">
      <c r="A262" s="6"/>
      <c r="B262" s="3"/>
      <c r="C262" s="3"/>
      <c r="D262" s="5" t="str">
        <f>IF($B262="","",IFERROR(INDEX(Products!$D$5:$D$51,MATCH($B262,Products!$A$5:$A$51,0)),""))</f>
        <v/>
      </c>
      <c r="E262" s="5" t="str">
        <f>IF($B262="","",IFERROR(INDEX(Products!$C$5:$C$51,MATCH($B262,Products!$A$5:$A$51,0)),""))</f>
        <v/>
      </c>
      <c r="F262" s="5" t="str">
        <f t="shared" si="12"/>
        <v/>
      </c>
      <c r="G262" s="5" t="str">
        <f t="shared" si="13"/>
        <v/>
      </c>
      <c r="H262" s="5" t="str">
        <f t="shared" si="14"/>
        <v/>
      </c>
    </row>
    <row r="263" spans="1:8" x14ac:dyDescent="0.25">
      <c r="A263" s="6"/>
      <c r="B263" s="3"/>
      <c r="C263" s="3"/>
      <c r="D263" s="5" t="str">
        <f>IF($B263="","",IFERROR(INDEX(Products!$D$5:$D$51,MATCH($B263,Products!$A$5:$A$51,0)),""))</f>
        <v/>
      </c>
      <c r="E263" s="5" t="str">
        <f>IF($B263="","",IFERROR(INDEX(Products!$C$5:$C$51,MATCH($B263,Products!$A$5:$A$51,0)),""))</f>
        <v/>
      </c>
      <c r="F263" s="5" t="str">
        <f t="shared" si="12"/>
        <v/>
      </c>
      <c r="G263" s="5" t="str">
        <f t="shared" si="13"/>
        <v/>
      </c>
      <c r="H263" s="5" t="str">
        <f t="shared" si="14"/>
        <v/>
      </c>
    </row>
    <row r="264" spans="1:8" x14ac:dyDescent="0.25">
      <c r="A264" s="6"/>
      <c r="B264" s="3"/>
      <c r="C264" s="3"/>
      <c r="D264" s="5" t="str">
        <f>IF($B264="","",IFERROR(INDEX(Products!$D$5:$D$51,MATCH($B264,Products!$A$5:$A$51,0)),""))</f>
        <v/>
      </c>
      <c r="E264" s="5" t="str">
        <f>IF($B264="","",IFERROR(INDEX(Products!$C$5:$C$51,MATCH($B264,Products!$A$5:$A$51,0)),""))</f>
        <v/>
      </c>
      <c r="F264" s="5" t="str">
        <f t="shared" si="12"/>
        <v/>
      </c>
      <c r="G264" s="5" t="str">
        <f t="shared" si="13"/>
        <v/>
      </c>
      <c r="H264" s="5" t="str">
        <f t="shared" si="14"/>
        <v/>
      </c>
    </row>
    <row r="265" spans="1:8" x14ac:dyDescent="0.25">
      <c r="A265" s="6"/>
      <c r="B265" s="3"/>
      <c r="C265" s="3"/>
      <c r="D265" s="5" t="str">
        <f>IF($B265="","",IFERROR(INDEX(Products!$D$5:$D$51,MATCH($B265,Products!$A$5:$A$51,0)),""))</f>
        <v/>
      </c>
      <c r="E265" s="5" t="str">
        <f>IF($B265="","",IFERROR(INDEX(Products!$C$5:$C$51,MATCH($B265,Products!$A$5:$A$51,0)),""))</f>
        <v/>
      </c>
      <c r="F265" s="5" t="str">
        <f t="shared" si="12"/>
        <v/>
      </c>
      <c r="G265" s="5" t="str">
        <f t="shared" si="13"/>
        <v/>
      </c>
      <c r="H265" s="5" t="str">
        <f t="shared" si="14"/>
        <v/>
      </c>
    </row>
    <row r="266" spans="1:8" x14ac:dyDescent="0.25">
      <c r="A266" s="6"/>
      <c r="B266" s="3"/>
      <c r="C266" s="3"/>
      <c r="D266" s="5" t="str">
        <f>IF($B266="","",IFERROR(INDEX(Products!$D$5:$D$51,MATCH($B266,Products!$A$5:$A$51,0)),""))</f>
        <v/>
      </c>
      <c r="E266" s="5" t="str">
        <f>IF($B266="","",IFERROR(INDEX(Products!$C$5:$C$51,MATCH($B266,Products!$A$5:$A$51,0)),""))</f>
        <v/>
      </c>
      <c r="F266" s="5" t="str">
        <f t="shared" si="12"/>
        <v/>
      </c>
      <c r="G266" s="5" t="str">
        <f t="shared" si="13"/>
        <v/>
      </c>
      <c r="H266" s="5" t="str">
        <f t="shared" si="14"/>
        <v/>
      </c>
    </row>
    <row r="267" spans="1:8" x14ac:dyDescent="0.25">
      <c r="A267" s="6"/>
      <c r="B267" s="3"/>
      <c r="C267" s="3"/>
      <c r="D267" s="5" t="str">
        <f>IF($B267="","",IFERROR(INDEX(Products!$D$5:$D$51,MATCH($B267,Products!$A$5:$A$51,0)),""))</f>
        <v/>
      </c>
      <c r="E267" s="5" t="str">
        <f>IF($B267="","",IFERROR(INDEX(Products!$C$5:$C$51,MATCH($B267,Products!$A$5:$A$51,0)),""))</f>
        <v/>
      </c>
      <c r="F267" s="5" t="str">
        <f t="shared" si="12"/>
        <v/>
      </c>
      <c r="G267" s="5" t="str">
        <f t="shared" si="13"/>
        <v/>
      </c>
      <c r="H267" s="5" t="str">
        <f t="shared" si="14"/>
        <v/>
      </c>
    </row>
    <row r="268" spans="1:8" x14ac:dyDescent="0.25">
      <c r="A268" s="6"/>
      <c r="B268" s="3"/>
      <c r="C268" s="3"/>
      <c r="D268" s="5" t="str">
        <f>IF($B268="","",IFERROR(INDEX(Products!$D$5:$D$51,MATCH($B268,Products!$A$5:$A$51,0)),""))</f>
        <v/>
      </c>
      <c r="E268" s="5" t="str">
        <f>IF($B268="","",IFERROR(INDEX(Products!$C$5:$C$51,MATCH($B268,Products!$A$5:$A$51,0)),""))</f>
        <v/>
      </c>
      <c r="F268" s="5" t="str">
        <f t="shared" si="12"/>
        <v/>
      </c>
      <c r="G268" s="5" t="str">
        <f t="shared" si="13"/>
        <v/>
      </c>
      <c r="H268" s="5" t="str">
        <f t="shared" si="14"/>
        <v/>
      </c>
    </row>
    <row r="269" spans="1:8" x14ac:dyDescent="0.25">
      <c r="A269" s="6"/>
      <c r="B269" s="3"/>
      <c r="C269" s="3"/>
      <c r="D269" s="5" t="str">
        <f>IF($B269="","",IFERROR(INDEX(Products!$D$5:$D$51,MATCH($B269,Products!$A$5:$A$51,0)),""))</f>
        <v/>
      </c>
      <c r="E269" s="5" t="str">
        <f>IF($B269="","",IFERROR(INDEX(Products!$C$5:$C$51,MATCH($B269,Products!$A$5:$A$51,0)),""))</f>
        <v/>
      </c>
      <c r="F269" s="5" t="str">
        <f t="shared" si="12"/>
        <v/>
      </c>
      <c r="G269" s="5" t="str">
        <f t="shared" si="13"/>
        <v/>
      </c>
      <c r="H269" s="5" t="str">
        <f t="shared" si="14"/>
        <v/>
      </c>
    </row>
    <row r="270" spans="1:8" x14ac:dyDescent="0.25">
      <c r="A270" s="6"/>
      <c r="B270" s="3"/>
      <c r="C270" s="3"/>
      <c r="D270" s="5" t="str">
        <f>IF($B270="","",IFERROR(INDEX(Products!$D$5:$D$51,MATCH($B270,Products!$A$5:$A$51,0)),""))</f>
        <v/>
      </c>
      <c r="E270" s="5" t="str">
        <f>IF($B270="","",IFERROR(INDEX(Products!$C$5:$C$51,MATCH($B270,Products!$A$5:$A$51,0)),""))</f>
        <v/>
      </c>
      <c r="F270" s="5" t="str">
        <f t="shared" si="12"/>
        <v/>
      </c>
      <c r="G270" s="5" t="str">
        <f t="shared" si="13"/>
        <v/>
      </c>
      <c r="H270" s="5" t="str">
        <f t="shared" si="14"/>
        <v/>
      </c>
    </row>
    <row r="271" spans="1:8" x14ac:dyDescent="0.25">
      <c r="A271" s="6"/>
      <c r="B271" s="3"/>
      <c r="C271" s="3"/>
      <c r="D271" s="5" t="str">
        <f>IF($B271="","",IFERROR(INDEX(Products!$D$5:$D$51,MATCH($B271,Products!$A$5:$A$51,0)),""))</f>
        <v/>
      </c>
      <c r="E271" s="5" t="str">
        <f>IF($B271="","",IFERROR(INDEX(Products!$C$5:$C$51,MATCH($B271,Products!$A$5:$A$51,0)),""))</f>
        <v/>
      </c>
      <c r="F271" s="5" t="str">
        <f t="shared" si="12"/>
        <v/>
      </c>
      <c r="G271" s="5" t="str">
        <f t="shared" si="13"/>
        <v/>
      </c>
      <c r="H271" s="5" t="str">
        <f t="shared" si="14"/>
        <v/>
      </c>
    </row>
    <row r="272" spans="1:8" x14ac:dyDescent="0.25">
      <c r="A272" s="6"/>
      <c r="B272" s="3"/>
      <c r="C272" s="3"/>
      <c r="D272" s="5" t="str">
        <f>IF($B272="","",IFERROR(INDEX(Products!$D$5:$D$51,MATCH($B272,Products!$A$5:$A$51,0)),""))</f>
        <v/>
      </c>
      <c r="E272" s="5" t="str">
        <f>IF($B272="","",IFERROR(INDEX(Products!$C$5:$C$51,MATCH($B272,Products!$A$5:$A$51,0)),""))</f>
        <v/>
      </c>
      <c r="F272" s="5" t="str">
        <f t="shared" si="12"/>
        <v/>
      </c>
      <c r="G272" s="5" t="str">
        <f t="shared" si="13"/>
        <v/>
      </c>
      <c r="H272" s="5" t="str">
        <f t="shared" si="14"/>
        <v/>
      </c>
    </row>
    <row r="273" spans="1:8" x14ac:dyDescent="0.25">
      <c r="A273" s="6"/>
      <c r="B273" s="3"/>
      <c r="C273" s="3"/>
      <c r="D273" s="5" t="str">
        <f>IF($B273="","",IFERROR(INDEX(Products!$D$5:$D$51,MATCH($B273,Products!$A$5:$A$51,0)),""))</f>
        <v/>
      </c>
      <c r="E273" s="5" t="str">
        <f>IF($B273="","",IFERROR(INDEX(Products!$C$5:$C$51,MATCH($B273,Products!$A$5:$A$51,0)),""))</f>
        <v/>
      </c>
      <c r="F273" s="5" t="str">
        <f t="shared" si="12"/>
        <v/>
      </c>
      <c r="G273" s="5" t="str">
        <f t="shared" si="13"/>
        <v/>
      </c>
      <c r="H273" s="5" t="str">
        <f t="shared" si="14"/>
        <v/>
      </c>
    </row>
    <row r="274" spans="1:8" x14ac:dyDescent="0.25">
      <c r="A274" s="6"/>
      <c r="B274" s="3"/>
      <c r="C274" s="3"/>
      <c r="D274" s="5" t="str">
        <f>IF($B274="","",IFERROR(INDEX(Products!$D$5:$D$51,MATCH($B274,Products!$A$5:$A$51,0)),""))</f>
        <v/>
      </c>
      <c r="E274" s="5" t="str">
        <f>IF($B274="","",IFERROR(INDEX(Products!$C$5:$C$51,MATCH($B274,Products!$A$5:$A$51,0)),""))</f>
        <v/>
      </c>
      <c r="F274" s="5" t="str">
        <f t="shared" si="12"/>
        <v/>
      </c>
      <c r="G274" s="5" t="str">
        <f t="shared" si="13"/>
        <v/>
      </c>
      <c r="H274" s="5" t="str">
        <f t="shared" si="14"/>
        <v/>
      </c>
    </row>
    <row r="275" spans="1:8" x14ac:dyDescent="0.25">
      <c r="A275" s="6"/>
      <c r="B275" s="3"/>
      <c r="C275" s="3"/>
      <c r="D275" s="5" t="str">
        <f>IF($B275="","",IFERROR(INDEX(Products!$D$5:$D$51,MATCH($B275,Products!$A$5:$A$51,0)),""))</f>
        <v/>
      </c>
      <c r="E275" s="5" t="str">
        <f>IF($B275="","",IFERROR(INDEX(Products!$C$5:$C$51,MATCH($B275,Products!$A$5:$A$51,0)),""))</f>
        <v/>
      </c>
      <c r="F275" s="5" t="str">
        <f t="shared" si="12"/>
        <v/>
      </c>
      <c r="G275" s="5" t="str">
        <f t="shared" si="13"/>
        <v/>
      </c>
      <c r="H275" s="5" t="str">
        <f t="shared" si="14"/>
        <v/>
      </c>
    </row>
    <row r="276" spans="1:8" x14ac:dyDescent="0.25">
      <c r="A276" s="6"/>
      <c r="B276" s="3"/>
      <c r="C276" s="3"/>
      <c r="D276" s="5" t="str">
        <f>IF($B276="","",IFERROR(INDEX(Products!$D$5:$D$51,MATCH($B276,Products!$A$5:$A$51,0)),""))</f>
        <v/>
      </c>
      <c r="E276" s="5" t="str">
        <f>IF($B276="","",IFERROR(INDEX(Products!$C$5:$C$51,MATCH($B276,Products!$A$5:$A$51,0)),""))</f>
        <v/>
      </c>
      <c r="F276" s="5" t="str">
        <f t="shared" si="12"/>
        <v/>
      </c>
      <c r="G276" s="5" t="str">
        <f t="shared" si="13"/>
        <v/>
      </c>
      <c r="H276" s="5" t="str">
        <f t="shared" si="14"/>
        <v/>
      </c>
    </row>
    <row r="277" spans="1:8" x14ac:dyDescent="0.25">
      <c r="A277" s="6"/>
      <c r="B277" s="3"/>
      <c r="C277" s="3"/>
      <c r="D277" s="5" t="str">
        <f>IF($B277="","",IFERROR(INDEX(Products!$D$5:$D$51,MATCH($B277,Products!$A$5:$A$51,0)),""))</f>
        <v/>
      </c>
      <c r="E277" s="5" t="str">
        <f>IF($B277="","",IFERROR(INDEX(Products!$C$5:$C$51,MATCH($B277,Products!$A$5:$A$51,0)),""))</f>
        <v/>
      </c>
      <c r="F277" s="5" t="str">
        <f t="shared" si="12"/>
        <v/>
      </c>
      <c r="G277" s="5" t="str">
        <f t="shared" si="13"/>
        <v/>
      </c>
      <c r="H277" s="5" t="str">
        <f t="shared" si="14"/>
        <v/>
      </c>
    </row>
    <row r="278" spans="1:8" x14ac:dyDescent="0.25">
      <c r="A278" s="6"/>
      <c r="B278" s="3"/>
      <c r="C278" s="3"/>
      <c r="D278" s="5" t="str">
        <f>IF($B278="","",IFERROR(INDEX(Products!$D$5:$D$51,MATCH($B278,Products!$A$5:$A$51,0)),""))</f>
        <v/>
      </c>
      <c r="E278" s="5" t="str">
        <f>IF($B278="","",IFERROR(INDEX(Products!$C$5:$C$51,MATCH($B278,Products!$A$5:$A$51,0)),""))</f>
        <v/>
      </c>
      <c r="F278" s="5" t="str">
        <f t="shared" si="12"/>
        <v/>
      </c>
      <c r="G278" s="5" t="str">
        <f t="shared" si="13"/>
        <v/>
      </c>
      <c r="H278" s="5" t="str">
        <f t="shared" si="14"/>
        <v/>
      </c>
    </row>
    <row r="279" spans="1:8" x14ac:dyDescent="0.25">
      <c r="A279" s="6"/>
      <c r="B279" s="3"/>
      <c r="C279" s="3"/>
      <c r="D279" s="5" t="str">
        <f>IF($B279="","",IFERROR(INDEX(Products!$D$5:$D$51,MATCH($B279,Products!$A$5:$A$51,0)),""))</f>
        <v/>
      </c>
      <c r="E279" s="5" t="str">
        <f>IF($B279="","",IFERROR(INDEX(Products!$C$5:$C$51,MATCH($B279,Products!$A$5:$A$51,0)),""))</f>
        <v/>
      </c>
      <c r="F279" s="5" t="str">
        <f t="shared" si="12"/>
        <v/>
      </c>
      <c r="G279" s="5" t="str">
        <f t="shared" si="13"/>
        <v/>
      </c>
      <c r="H279" s="5" t="str">
        <f t="shared" si="14"/>
        <v/>
      </c>
    </row>
    <row r="280" spans="1:8" x14ac:dyDescent="0.25">
      <c r="A280" s="6"/>
      <c r="B280" s="3"/>
      <c r="C280" s="3"/>
      <c r="D280" s="5" t="str">
        <f>IF($B280="","",IFERROR(INDEX(Products!$D$5:$D$51,MATCH($B280,Products!$A$5:$A$51,0)),""))</f>
        <v/>
      </c>
      <c r="E280" s="5" t="str">
        <f>IF($B280="","",IFERROR(INDEX(Products!$C$5:$C$51,MATCH($B280,Products!$A$5:$A$51,0)),""))</f>
        <v/>
      </c>
      <c r="F280" s="5" t="str">
        <f t="shared" si="12"/>
        <v/>
      </c>
      <c r="G280" s="5" t="str">
        <f t="shared" si="13"/>
        <v/>
      </c>
      <c r="H280" s="5" t="str">
        <f t="shared" si="14"/>
        <v/>
      </c>
    </row>
    <row r="281" spans="1:8" x14ac:dyDescent="0.25">
      <c r="A281" s="6"/>
      <c r="B281" s="3"/>
      <c r="C281" s="3"/>
      <c r="D281" s="5" t="str">
        <f>IF($B281="","",IFERROR(INDEX(Products!$D$5:$D$51,MATCH($B281,Products!$A$5:$A$51,0)),""))</f>
        <v/>
      </c>
      <c r="E281" s="5" t="str">
        <f>IF($B281="","",IFERROR(INDEX(Products!$C$5:$C$51,MATCH($B281,Products!$A$5:$A$51,0)),""))</f>
        <v/>
      </c>
      <c r="F281" s="5" t="str">
        <f t="shared" si="12"/>
        <v/>
      </c>
      <c r="G281" s="5" t="str">
        <f t="shared" si="13"/>
        <v/>
      </c>
      <c r="H281" s="5" t="str">
        <f t="shared" si="14"/>
        <v/>
      </c>
    </row>
    <row r="282" spans="1:8" x14ac:dyDescent="0.25">
      <c r="A282" s="6"/>
      <c r="B282" s="3"/>
      <c r="C282" s="3"/>
      <c r="D282" s="5" t="str">
        <f>IF($B282="","",IFERROR(INDEX(Products!$D$5:$D$51,MATCH($B282,Products!$A$5:$A$51,0)),""))</f>
        <v/>
      </c>
      <c r="E282" s="5" t="str">
        <f>IF($B282="","",IFERROR(INDEX(Products!$C$5:$C$51,MATCH($B282,Products!$A$5:$A$51,0)),""))</f>
        <v/>
      </c>
      <c r="F282" s="5" t="str">
        <f t="shared" si="12"/>
        <v/>
      </c>
      <c r="G282" s="5" t="str">
        <f t="shared" si="13"/>
        <v/>
      </c>
      <c r="H282" s="5" t="str">
        <f t="shared" si="14"/>
        <v/>
      </c>
    </row>
    <row r="283" spans="1:8" x14ac:dyDescent="0.25">
      <c r="A283" s="6"/>
      <c r="B283" s="3"/>
      <c r="C283" s="3"/>
      <c r="D283" s="5" t="str">
        <f>IF($B283="","",IFERROR(INDEX(Products!$D$5:$D$51,MATCH($B283,Products!$A$5:$A$51,0)),""))</f>
        <v/>
      </c>
      <c r="E283" s="5" t="str">
        <f>IF($B283="","",IFERROR(INDEX(Products!$C$5:$C$51,MATCH($B283,Products!$A$5:$A$51,0)),""))</f>
        <v/>
      </c>
      <c r="F283" s="5" t="str">
        <f t="shared" si="12"/>
        <v/>
      </c>
      <c r="G283" s="5" t="str">
        <f t="shared" si="13"/>
        <v/>
      </c>
      <c r="H283" s="5" t="str">
        <f t="shared" si="14"/>
        <v/>
      </c>
    </row>
    <row r="284" spans="1:8" x14ac:dyDescent="0.25">
      <c r="A284" s="6"/>
      <c r="B284" s="3"/>
      <c r="C284" s="3"/>
      <c r="D284" s="5" t="str">
        <f>IF($B284="","",IFERROR(INDEX(Products!$D$5:$D$51,MATCH($B284,Products!$A$5:$A$51,0)),""))</f>
        <v/>
      </c>
      <c r="E284" s="5" t="str">
        <f>IF($B284="","",IFERROR(INDEX(Products!$C$5:$C$51,MATCH($B284,Products!$A$5:$A$51,0)),""))</f>
        <v/>
      </c>
      <c r="F284" s="5" t="str">
        <f t="shared" si="12"/>
        <v/>
      </c>
      <c r="G284" s="5" t="str">
        <f t="shared" si="13"/>
        <v/>
      </c>
      <c r="H284" s="5" t="str">
        <f t="shared" si="14"/>
        <v/>
      </c>
    </row>
    <row r="285" spans="1:8" x14ac:dyDescent="0.25">
      <c r="A285" s="6"/>
      <c r="B285" s="3"/>
      <c r="C285" s="3"/>
      <c r="D285" s="5" t="str">
        <f>IF($B285="","",IFERROR(INDEX(Products!$D$5:$D$51,MATCH($B285,Products!$A$5:$A$51,0)),""))</f>
        <v/>
      </c>
      <c r="E285" s="5" t="str">
        <f>IF($B285="","",IFERROR(INDEX(Products!$C$5:$C$51,MATCH($B285,Products!$A$5:$A$51,0)),""))</f>
        <v/>
      </c>
      <c r="F285" s="5" t="str">
        <f t="shared" si="12"/>
        <v/>
      </c>
      <c r="G285" s="5" t="str">
        <f t="shared" si="13"/>
        <v/>
      </c>
      <c r="H285" s="5" t="str">
        <f t="shared" si="14"/>
        <v/>
      </c>
    </row>
    <row r="286" spans="1:8" x14ac:dyDescent="0.25">
      <c r="A286" s="6"/>
      <c r="B286" s="3"/>
      <c r="C286" s="3"/>
      <c r="D286" s="5" t="str">
        <f>IF($B286="","",IFERROR(INDEX(Products!$D$5:$D$51,MATCH($B286,Products!$A$5:$A$51,0)),""))</f>
        <v/>
      </c>
      <c r="E286" s="5" t="str">
        <f>IF($B286="","",IFERROR(INDEX(Products!$C$5:$C$51,MATCH($B286,Products!$A$5:$A$51,0)),""))</f>
        <v/>
      </c>
      <c r="F286" s="5" t="str">
        <f t="shared" si="12"/>
        <v/>
      </c>
      <c r="G286" s="5" t="str">
        <f t="shared" si="13"/>
        <v/>
      </c>
      <c r="H286" s="5" t="str">
        <f t="shared" si="14"/>
        <v/>
      </c>
    </row>
    <row r="287" spans="1:8" x14ac:dyDescent="0.25">
      <c r="A287" s="6"/>
      <c r="B287" s="3"/>
      <c r="C287" s="3"/>
      <c r="D287" s="5" t="str">
        <f>IF($B287="","",IFERROR(INDEX(Products!$D$5:$D$51,MATCH($B287,Products!$A$5:$A$51,0)),""))</f>
        <v/>
      </c>
      <c r="E287" s="5" t="str">
        <f>IF($B287="","",IFERROR(INDEX(Products!$C$5:$C$51,MATCH($B287,Products!$A$5:$A$51,0)),""))</f>
        <v/>
      </c>
      <c r="F287" s="5" t="str">
        <f t="shared" si="12"/>
        <v/>
      </c>
      <c r="G287" s="5" t="str">
        <f t="shared" si="13"/>
        <v/>
      </c>
      <c r="H287" s="5" t="str">
        <f t="shared" si="14"/>
        <v/>
      </c>
    </row>
    <row r="288" spans="1:8" x14ac:dyDescent="0.25">
      <c r="A288" s="6"/>
      <c r="B288" s="3"/>
      <c r="C288" s="3"/>
      <c r="D288" s="5" t="str">
        <f>IF($B288="","",IFERROR(INDEX(Products!$D$5:$D$51,MATCH($B288,Products!$A$5:$A$51,0)),""))</f>
        <v/>
      </c>
      <c r="E288" s="5" t="str">
        <f>IF($B288="","",IFERROR(INDEX(Products!$C$5:$C$51,MATCH($B288,Products!$A$5:$A$51,0)),""))</f>
        <v/>
      </c>
      <c r="F288" s="5" t="str">
        <f t="shared" si="12"/>
        <v/>
      </c>
      <c r="G288" s="5" t="str">
        <f t="shared" si="13"/>
        <v/>
      </c>
      <c r="H288" s="5" t="str">
        <f t="shared" si="14"/>
        <v/>
      </c>
    </row>
    <row r="289" spans="1:8" x14ac:dyDescent="0.25">
      <c r="A289" s="6"/>
      <c r="B289" s="3"/>
      <c r="C289" s="3"/>
      <c r="D289" s="5" t="str">
        <f>IF($B289="","",IFERROR(INDEX(Products!$D$5:$D$51,MATCH($B289,Products!$A$5:$A$51,0)),""))</f>
        <v/>
      </c>
      <c r="E289" s="5" t="str">
        <f>IF($B289="","",IFERROR(INDEX(Products!$C$5:$C$51,MATCH($B289,Products!$A$5:$A$51,0)),""))</f>
        <v/>
      </c>
      <c r="F289" s="5" t="str">
        <f t="shared" si="12"/>
        <v/>
      </c>
      <c r="G289" s="5" t="str">
        <f t="shared" si="13"/>
        <v/>
      </c>
      <c r="H289" s="5" t="str">
        <f t="shared" si="14"/>
        <v/>
      </c>
    </row>
    <row r="290" spans="1:8" x14ac:dyDescent="0.25">
      <c r="A290" s="6"/>
      <c r="B290" s="3"/>
      <c r="C290" s="3"/>
      <c r="D290" s="5" t="str">
        <f>IF($B290="","",IFERROR(INDEX(Products!$D$5:$D$51,MATCH($B290,Products!$A$5:$A$51,0)),""))</f>
        <v/>
      </c>
      <c r="E290" s="5" t="str">
        <f>IF($B290="","",IFERROR(INDEX(Products!$C$5:$C$51,MATCH($B290,Products!$A$5:$A$51,0)),""))</f>
        <v/>
      </c>
      <c r="F290" s="5" t="str">
        <f t="shared" si="12"/>
        <v/>
      </c>
      <c r="G290" s="5" t="str">
        <f t="shared" si="13"/>
        <v/>
      </c>
      <c r="H290" s="5" t="str">
        <f t="shared" si="14"/>
        <v/>
      </c>
    </row>
    <row r="291" spans="1:8" x14ac:dyDescent="0.25">
      <c r="A291" s="6"/>
      <c r="B291" s="3"/>
      <c r="C291" s="3"/>
      <c r="D291" s="5" t="str">
        <f>IF($B291="","",IFERROR(INDEX(Products!$D$5:$D$51,MATCH($B291,Products!$A$5:$A$51,0)),""))</f>
        <v/>
      </c>
      <c r="E291" s="5" t="str">
        <f>IF($B291="","",IFERROR(INDEX(Products!$C$5:$C$51,MATCH($B291,Products!$A$5:$A$51,0)),""))</f>
        <v/>
      </c>
      <c r="F291" s="5" t="str">
        <f t="shared" si="12"/>
        <v/>
      </c>
      <c r="G291" s="5" t="str">
        <f t="shared" si="13"/>
        <v/>
      </c>
      <c r="H291" s="5" t="str">
        <f t="shared" si="14"/>
        <v/>
      </c>
    </row>
    <row r="292" spans="1:8" x14ac:dyDescent="0.25">
      <c r="A292" s="6"/>
      <c r="B292" s="3"/>
      <c r="C292" s="3"/>
      <c r="D292" s="5" t="str">
        <f>IF($B292="","",IFERROR(INDEX(Products!$D$5:$D$51,MATCH($B292,Products!$A$5:$A$51,0)),""))</f>
        <v/>
      </c>
      <c r="E292" s="5" t="str">
        <f>IF($B292="","",IFERROR(INDEX(Products!$C$5:$C$51,MATCH($B292,Products!$A$5:$A$51,0)),""))</f>
        <v/>
      </c>
      <c r="F292" s="5" t="str">
        <f t="shared" si="12"/>
        <v/>
      </c>
      <c r="G292" s="5" t="str">
        <f t="shared" si="13"/>
        <v/>
      </c>
      <c r="H292" s="5" t="str">
        <f t="shared" si="14"/>
        <v/>
      </c>
    </row>
    <row r="293" spans="1:8" x14ac:dyDescent="0.25">
      <c r="A293" s="6"/>
      <c r="B293" s="3"/>
      <c r="C293" s="3"/>
      <c r="D293" s="5" t="str">
        <f>IF($B293="","",IFERROR(INDEX(Products!$D$5:$D$51,MATCH($B293,Products!$A$5:$A$51,0)),""))</f>
        <v/>
      </c>
      <c r="E293" s="5" t="str">
        <f>IF($B293="","",IFERROR(INDEX(Products!$C$5:$C$51,MATCH($B293,Products!$A$5:$A$51,0)),""))</f>
        <v/>
      </c>
      <c r="F293" s="5" t="str">
        <f t="shared" si="12"/>
        <v/>
      </c>
      <c r="G293" s="5" t="str">
        <f t="shared" si="13"/>
        <v/>
      </c>
      <c r="H293" s="5" t="str">
        <f t="shared" si="14"/>
        <v/>
      </c>
    </row>
    <row r="294" spans="1:8" x14ac:dyDescent="0.25">
      <c r="A294" s="6"/>
      <c r="B294" s="3"/>
      <c r="C294" s="3"/>
      <c r="D294" s="5" t="str">
        <f>IF($B294="","",IFERROR(INDEX(Products!$D$5:$D$51,MATCH($B294,Products!$A$5:$A$51,0)),""))</f>
        <v/>
      </c>
      <c r="E294" s="5" t="str">
        <f>IF($B294="","",IFERROR(INDEX(Products!$C$5:$C$51,MATCH($B294,Products!$A$5:$A$51,0)),""))</f>
        <v/>
      </c>
      <c r="F294" s="5" t="str">
        <f t="shared" si="12"/>
        <v/>
      </c>
      <c r="G294" s="5" t="str">
        <f t="shared" si="13"/>
        <v/>
      </c>
      <c r="H294" s="5" t="str">
        <f t="shared" si="14"/>
        <v/>
      </c>
    </row>
    <row r="295" spans="1:8" x14ac:dyDescent="0.25">
      <c r="A295" s="6"/>
      <c r="B295" s="3"/>
      <c r="C295" s="3"/>
      <c r="D295" s="5" t="str">
        <f>IF($B295="","",IFERROR(INDEX(Products!$D$5:$D$51,MATCH($B295,Products!$A$5:$A$51,0)),""))</f>
        <v/>
      </c>
      <c r="E295" s="5" t="str">
        <f>IF($B295="","",IFERROR(INDEX(Products!$C$5:$C$51,MATCH($B295,Products!$A$5:$A$51,0)),""))</f>
        <v/>
      </c>
      <c r="F295" s="5" t="str">
        <f t="shared" si="12"/>
        <v/>
      </c>
      <c r="G295" s="5" t="str">
        <f t="shared" si="13"/>
        <v/>
      </c>
      <c r="H295" s="5" t="str">
        <f t="shared" si="14"/>
        <v/>
      </c>
    </row>
    <row r="296" spans="1:8" x14ac:dyDescent="0.25">
      <c r="A296" s="6"/>
      <c r="B296" s="3"/>
      <c r="C296" s="3"/>
      <c r="D296" s="5" t="str">
        <f>IF($B296="","",IFERROR(INDEX(Products!$D$5:$D$51,MATCH($B296,Products!$A$5:$A$51,0)),""))</f>
        <v/>
      </c>
      <c r="E296" s="5" t="str">
        <f>IF($B296="","",IFERROR(INDEX(Products!$C$5:$C$51,MATCH($B296,Products!$A$5:$A$51,0)),""))</f>
        <v/>
      </c>
      <c r="F296" s="5" t="str">
        <f t="shared" si="12"/>
        <v/>
      </c>
      <c r="G296" s="5" t="str">
        <f t="shared" si="13"/>
        <v/>
      </c>
      <c r="H296" s="5" t="str">
        <f t="shared" si="14"/>
        <v/>
      </c>
    </row>
    <row r="297" spans="1:8" x14ac:dyDescent="0.25">
      <c r="A297" s="6"/>
      <c r="B297" s="3"/>
      <c r="C297" s="3"/>
      <c r="D297" s="5" t="str">
        <f>IF($B297="","",IFERROR(INDEX(Products!$D$5:$D$51,MATCH($B297,Products!$A$5:$A$51,0)),""))</f>
        <v/>
      </c>
      <c r="E297" s="5" t="str">
        <f>IF($B297="","",IFERROR(INDEX(Products!$C$5:$C$51,MATCH($B297,Products!$A$5:$A$51,0)),""))</f>
        <v/>
      </c>
      <c r="F297" s="5" t="str">
        <f t="shared" si="12"/>
        <v/>
      </c>
      <c r="G297" s="5" t="str">
        <f t="shared" si="13"/>
        <v/>
      </c>
      <c r="H297" s="5" t="str">
        <f t="shared" si="14"/>
        <v/>
      </c>
    </row>
    <row r="298" spans="1:8" x14ac:dyDescent="0.25">
      <c r="A298" s="6"/>
      <c r="B298" s="3"/>
      <c r="C298" s="3"/>
      <c r="D298" s="5" t="str">
        <f>IF($B298="","",IFERROR(INDEX(Products!$D$5:$D$51,MATCH($B298,Products!$A$5:$A$51,0)),""))</f>
        <v/>
      </c>
      <c r="E298" s="5" t="str">
        <f>IF($B298="","",IFERROR(INDEX(Products!$C$5:$C$51,MATCH($B298,Products!$A$5:$A$51,0)),""))</f>
        <v/>
      </c>
      <c r="F298" s="5" t="str">
        <f t="shared" si="12"/>
        <v/>
      </c>
      <c r="G298" s="5" t="str">
        <f t="shared" si="13"/>
        <v/>
      </c>
      <c r="H298" s="5" t="str">
        <f t="shared" si="14"/>
        <v/>
      </c>
    </row>
    <row r="299" spans="1:8" x14ac:dyDescent="0.25">
      <c r="A299" s="6"/>
      <c r="B299" s="3"/>
      <c r="C299" s="3"/>
      <c r="D299" s="5" t="str">
        <f>IF($B299="","",IFERROR(INDEX(Products!$D$5:$D$51,MATCH($B299,Products!$A$5:$A$51,0)),""))</f>
        <v/>
      </c>
      <c r="E299" s="5" t="str">
        <f>IF($B299="","",IFERROR(INDEX(Products!$C$5:$C$51,MATCH($B299,Products!$A$5:$A$51,0)),""))</f>
        <v/>
      </c>
      <c r="F299" s="5" t="str">
        <f t="shared" si="12"/>
        <v/>
      </c>
      <c r="G299" s="5" t="str">
        <f t="shared" si="13"/>
        <v/>
      </c>
      <c r="H299" s="5" t="str">
        <f t="shared" si="14"/>
        <v/>
      </c>
    </row>
    <row r="300" spans="1:8" x14ac:dyDescent="0.25">
      <c r="A300" s="6"/>
      <c r="B300" s="3"/>
      <c r="C300" s="3"/>
      <c r="D300" s="5" t="str">
        <f>IF($B300="","",IFERROR(INDEX(Products!$D$5:$D$51,MATCH($B300,Products!$A$5:$A$51,0)),""))</f>
        <v/>
      </c>
      <c r="E300" s="5" t="str">
        <f>IF($B300="","",IFERROR(INDEX(Products!$C$5:$C$51,MATCH($B300,Products!$A$5:$A$51,0)),""))</f>
        <v/>
      </c>
      <c r="F300" s="5" t="str">
        <f t="shared" si="12"/>
        <v/>
      </c>
      <c r="G300" s="5" t="str">
        <f t="shared" si="13"/>
        <v/>
      </c>
      <c r="H300" s="5" t="str">
        <f t="shared" si="14"/>
        <v/>
      </c>
    </row>
    <row r="302" spans="1:8" x14ac:dyDescent="0.25">
      <c r="B302" s="7" t="s">
        <v>18</v>
      </c>
      <c r="C302" s="7">
        <f>SUM(C5:C300)</f>
        <v>2</v>
      </c>
      <c r="F302" s="7">
        <f>SUM(F5:F300)</f>
        <v>10000</v>
      </c>
      <c r="G302" s="7">
        <f>SUM(G5:G300)</f>
        <v>5000</v>
      </c>
      <c r="H302" s="7">
        <f>SUM(H5:H300)</f>
        <v>5000</v>
      </c>
    </row>
  </sheetData>
  <mergeCells count="1">
    <mergeCell ref="A2:H2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0000000}">
          <x14:formula1>
            <xm:f>Products!$A$5:$A$51</xm:f>
          </x14:formula1>
          <x14:formula2>
            <xm:f>0</xm:f>
          </x14:formula2>
          <xm:sqref>B5:B300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8"/>
  <sheetViews>
    <sheetView zoomScaleNormal="100" workbookViewId="0">
      <pane ySplit="12" topLeftCell="A13" activePane="bottomLeft" state="frozen"/>
      <selection pane="bottomLeft"/>
    </sheetView>
  </sheetViews>
  <sheetFormatPr defaultColWidth="8.7109375" defaultRowHeight="15" x14ac:dyDescent="0.25"/>
  <cols>
    <col min="1" max="1" width="28" customWidth="1"/>
    <col min="2" max="5" width="14" customWidth="1"/>
  </cols>
  <sheetData>
    <row r="1" spans="1:5" ht="18" x14ac:dyDescent="0.25">
      <c r="A1" s="1" t="s">
        <v>19</v>
      </c>
    </row>
    <row r="2" spans="1:5" x14ac:dyDescent="0.25">
      <c r="A2" s="13" t="s">
        <v>20</v>
      </c>
      <c r="B2" s="13"/>
      <c r="C2" s="13"/>
      <c r="D2" s="13"/>
      <c r="E2" s="13"/>
    </row>
    <row r="4" spans="1:5" ht="15.75" x14ac:dyDescent="0.25">
      <c r="A4" s="8" t="s">
        <v>21</v>
      </c>
    </row>
    <row r="5" spans="1:5" x14ac:dyDescent="0.25">
      <c r="A5" s="9" t="s">
        <v>15</v>
      </c>
      <c r="B5" s="5">
        <f>'Sales Log'!F302</f>
        <v>10000</v>
      </c>
    </row>
    <row r="6" spans="1:5" x14ac:dyDescent="0.25">
      <c r="A6" s="9" t="s">
        <v>16</v>
      </c>
      <c r="B6" s="5">
        <f>'Sales Log'!G302</f>
        <v>5000</v>
      </c>
    </row>
    <row r="7" spans="1:5" x14ac:dyDescent="0.25">
      <c r="A7" s="9" t="s">
        <v>22</v>
      </c>
      <c r="B7" s="5">
        <f>'Sales Log'!H302</f>
        <v>5000</v>
      </c>
    </row>
    <row r="8" spans="1:5" x14ac:dyDescent="0.25">
      <c r="A8" s="9" t="s">
        <v>23</v>
      </c>
      <c r="B8" s="10">
        <f>IF(B5=0,0,B7/B5)</f>
        <v>0.5</v>
      </c>
    </row>
    <row r="11" spans="1:5" ht="15.75" x14ac:dyDescent="0.25">
      <c r="A11" s="8" t="s">
        <v>24</v>
      </c>
    </row>
    <row r="12" spans="1:5" x14ac:dyDescent="0.25">
      <c r="A12" s="2" t="s">
        <v>11</v>
      </c>
      <c r="B12" s="2" t="s">
        <v>25</v>
      </c>
      <c r="C12" s="2" t="s">
        <v>26</v>
      </c>
      <c r="D12" s="2" t="s">
        <v>27</v>
      </c>
      <c r="E12" s="2" t="s">
        <v>17</v>
      </c>
    </row>
    <row r="13" spans="1:5" x14ac:dyDescent="0.25">
      <c r="A13" s="11" t="str">
        <f>IF(Products!$A$5="","",Products!$A$5)</f>
        <v>9PM</v>
      </c>
      <c r="B13" s="5">
        <f>IF(Products!$A$5="","",SUMIFS('Sales Log'!$C$5:$C$300,'Sales Log'!$B$5:$B$300,Products!$A$5))</f>
        <v>0</v>
      </c>
      <c r="C13" s="5">
        <f>IF(Products!$A$5="","",SUMIFS('Sales Log'!$F$5:$F$300,'Sales Log'!$B$5:$B$300,Products!$A$5))</f>
        <v>0</v>
      </c>
      <c r="D13" s="5">
        <f>IF(Products!$A$5="","",SUMIFS('Sales Log'!$G$5:$G$300,'Sales Log'!$B$5:$B$300,Products!$A$5))</f>
        <v>0</v>
      </c>
      <c r="E13" s="5">
        <f>IF(Products!$A$5="","",SUMIFS('Sales Log'!$H$5:$H$300,'Sales Log'!$B$5:$B$300,Products!$A$5))</f>
        <v>0</v>
      </c>
    </row>
    <row r="14" spans="1:5" x14ac:dyDescent="0.25">
      <c r="A14" s="11" t="str">
        <f>IF(Products!$A$7="","",Products!$A$7)</f>
        <v>CHOCOLATE</v>
      </c>
      <c r="B14" s="5">
        <f>IF(Products!$A$7="","",SUMIFS('Sales Log'!$C$5:$C$300,'Sales Log'!$B$5:$B$300,Products!$A$7))</f>
        <v>2</v>
      </c>
      <c r="C14" s="5">
        <f>IF(Products!$A$7="","",SUMIFS('Sales Log'!$F$5:$F$300,'Sales Log'!$B$5:$B$300,Products!$A$7))</f>
        <v>10000</v>
      </c>
      <c r="D14" s="5">
        <f>IF(Products!$A$7="","",SUMIFS('Sales Log'!$G$5:$G$300,'Sales Log'!$B$5:$B$300,Products!$A$7))</f>
        <v>5000</v>
      </c>
      <c r="E14" s="5">
        <f>IF(Products!$A$7="","",SUMIFS('Sales Log'!$H$5:$H$300,'Sales Log'!$B$5:$B$300,Products!$A$7))</f>
        <v>5000</v>
      </c>
    </row>
    <row r="15" spans="1:5" x14ac:dyDescent="0.25">
      <c r="A15" s="11" t="str">
        <f>IF(Products!$A$10="","",Products!$A$10)</f>
        <v>CLUB DE NUIT</v>
      </c>
      <c r="B15" s="5">
        <f>IF(Products!$A$10="","",SUMIFS('Sales Log'!$C$5:$C$300,'Sales Log'!$B$5:$B$300,Products!$A$10))</f>
        <v>0</v>
      </c>
      <c r="C15" s="5">
        <f>IF(Products!$A$10="","",SUMIFS('Sales Log'!$F$5:$F$300,'Sales Log'!$B$5:$B$300,Products!$A$10))</f>
        <v>0</v>
      </c>
      <c r="D15" s="5">
        <f>IF(Products!$A$10="","",SUMIFS('Sales Log'!$G$5:$G$300,'Sales Log'!$B$5:$B$300,Products!$A$10))</f>
        <v>0</v>
      </c>
      <c r="E15" s="5">
        <f>IF(Products!$A$10="","",SUMIFS('Sales Log'!$H$5:$H$300,'Sales Log'!$B$5:$B$300,Products!$A$10))</f>
        <v>0</v>
      </c>
    </row>
    <row r="16" spans="1:5" x14ac:dyDescent="0.25">
      <c r="A16" s="11" t="str">
        <f>IF(Products!$A$13="","",Products!$A$13)</f>
        <v/>
      </c>
      <c r="B16" s="5" t="str">
        <f>IF(Products!$A$13="","",SUMIFS('Sales Log'!$C$5:$C$300,'Sales Log'!$B$5:$B$300,Products!$A$13))</f>
        <v/>
      </c>
      <c r="C16" s="5" t="str">
        <f>IF(Products!$A$13="","",SUMIFS('Sales Log'!$F$5:$F$300,'Sales Log'!$B$5:$B$300,Products!$A$13))</f>
        <v/>
      </c>
      <c r="D16" s="5" t="str">
        <f>IF(Products!$A$13="","",SUMIFS('Sales Log'!$G$5:$G$300,'Sales Log'!$B$5:$B$300,Products!$A$13))</f>
        <v/>
      </c>
      <c r="E16" s="5" t="str">
        <f>IF(Products!$A$13="","",SUMIFS('Sales Log'!$H$5:$H$300,'Sales Log'!$B$5:$B$300,Products!$A$13))</f>
        <v/>
      </c>
    </row>
    <row r="17" spans="1:5" x14ac:dyDescent="0.25">
      <c r="A17" s="11" t="str">
        <f>IF(Products!$A$20="","",Products!$A$20)</f>
        <v/>
      </c>
      <c r="B17" s="5" t="str">
        <f>IF(Products!$A$20="","",SUMIFS('Sales Log'!$C$5:$C$300,'Sales Log'!$B$5:$B$300,Products!$A$20))</f>
        <v/>
      </c>
      <c r="C17" s="5" t="str">
        <f>IF(Products!$A$20="","",SUMIFS('Sales Log'!$F$5:$F$300,'Sales Log'!$B$5:$B$300,Products!$A$20))</f>
        <v/>
      </c>
      <c r="D17" s="5" t="str">
        <f>IF(Products!$A$20="","",SUMIFS('Sales Log'!$G$5:$G$300,'Sales Log'!$B$5:$B$300,Products!$A$20))</f>
        <v/>
      </c>
      <c r="E17" s="5" t="str">
        <f>IF(Products!$A$20="","",SUMIFS('Sales Log'!$H$5:$H$300,'Sales Log'!$B$5:$B$300,Products!$A$20))</f>
        <v/>
      </c>
    </row>
    <row r="18" spans="1:5" x14ac:dyDescent="0.25">
      <c r="A18" s="11" t="str">
        <f>IF(Products!$A$21="","",Products!$A$21)</f>
        <v/>
      </c>
      <c r="B18" s="5" t="str">
        <f>IF(Products!$A$21="","",SUMIFS('Sales Log'!$C$5:$C$300,'Sales Log'!$B$5:$B$300,Products!$A$21))</f>
        <v/>
      </c>
      <c r="C18" s="5" t="str">
        <f>IF(Products!$A$21="","",SUMIFS('Sales Log'!$F$5:$F$300,'Sales Log'!$B$5:$B$300,Products!$A$21))</f>
        <v/>
      </c>
      <c r="D18" s="5" t="str">
        <f>IF(Products!$A$21="","",SUMIFS('Sales Log'!$G$5:$G$300,'Sales Log'!$B$5:$B$300,Products!$A$21))</f>
        <v/>
      </c>
      <c r="E18" s="5" t="str">
        <f>IF(Products!$A$21="","",SUMIFS('Sales Log'!$H$5:$H$300,'Sales Log'!$B$5:$B$300,Products!$A$21))</f>
        <v/>
      </c>
    </row>
    <row r="19" spans="1:5" x14ac:dyDescent="0.25">
      <c r="A19" s="11" t="str">
        <f>IF(Products!$A$22="","",Products!$A$22)</f>
        <v/>
      </c>
      <c r="B19" s="5" t="str">
        <f>IF(Products!$A$22="","",SUMIFS('Sales Log'!$C$5:$C$300,'Sales Log'!$B$5:$B$300,Products!$A$22))</f>
        <v/>
      </c>
      <c r="C19" s="5" t="str">
        <f>IF(Products!$A$22="","",SUMIFS('Sales Log'!$F$5:$F$300,'Sales Log'!$B$5:$B$300,Products!$A$22))</f>
        <v/>
      </c>
      <c r="D19" s="5" t="str">
        <f>IF(Products!$A$22="","",SUMIFS('Sales Log'!$G$5:$G$300,'Sales Log'!$B$5:$B$300,Products!$A$22))</f>
        <v/>
      </c>
      <c r="E19" s="5" t="str">
        <f>IF(Products!$A$22="","",SUMIFS('Sales Log'!$H$5:$H$300,'Sales Log'!$B$5:$B$300,Products!$A$22))</f>
        <v/>
      </c>
    </row>
    <row r="20" spans="1:5" x14ac:dyDescent="0.25">
      <c r="A20" s="11" t="str">
        <f>IF(Products!$A$23="","",Products!$A$23)</f>
        <v/>
      </c>
      <c r="B20" s="5" t="str">
        <f>IF(Products!$A$23="","",SUMIFS('Sales Log'!$C$5:$C$300,'Sales Log'!$B$5:$B$300,Products!$A$23))</f>
        <v/>
      </c>
      <c r="C20" s="5" t="str">
        <f>IF(Products!$A$23="","",SUMIFS('Sales Log'!$F$5:$F$300,'Sales Log'!$B$5:$B$300,Products!$A$23))</f>
        <v/>
      </c>
      <c r="D20" s="5" t="str">
        <f>IF(Products!$A$23="","",SUMIFS('Sales Log'!$G$5:$G$300,'Sales Log'!$B$5:$B$300,Products!$A$23))</f>
        <v/>
      </c>
      <c r="E20" s="5" t="str">
        <f>IF(Products!$A$23="","",SUMIFS('Sales Log'!$H$5:$H$300,'Sales Log'!$B$5:$B$300,Products!$A$23))</f>
        <v/>
      </c>
    </row>
    <row r="21" spans="1:5" x14ac:dyDescent="0.25">
      <c r="A21" s="11" t="str">
        <f>IF(Products!$A$24="","",Products!$A$24)</f>
        <v/>
      </c>
      <c r="B21" s="5" t="str">
        <f>IF(Products!$A$24="","",SUMIFS('Sales Log'!$C$5:$C$300,'Sales Log'!$B$5:$B$300,Products!$A$24))</f>
        <v/>
      </c>
      <c r="C21" s="5" t="str">
        <f>IF(Products!$A$24="","",SUMIFS('Sales Log'!$F$5:$F$300,'Sales Log'!$B$5:$B$300,Products!$A$24))</f>
        <v/>
      </c>
      <c r="D21" s="5" t="str">
        <f>IF(Products!$A$24="","",SUMIFS('Sales Log'!$G$5:$G$300,'Sales Log'!$B$5:$B$300,Products!$A$24))</f>
        <v/>
      </c>
      <c r="E21" s="5" t="str">
        <f>IF(Products!$A$24="","",SUMIFS('Sales Log'!$H$5:$H$300,'Sales Log'!$B$5:$B$300,Products!$A$24))</f>
        <v/>
      </c>
    </row>
    <row r="22" spans="1:5" x14ac:dyDescent="0.25">
      <c r="A22" s="11" t="str">
        <f>IF(Products!$A$25="","",Products!$A$25)</f>
        <v/>
      </c>
      <c r="B22" s="5" t="str">
        <f>IF(Products!$A$25="","",SUMIFS('Sales Log'!$C$5:$C$300,'Sales Log'!$B$5:$B$300,Products!$A$25))</f>
        <v/>
      </c>
      <c r="C22" s="5" t="str">
        <f>IF(Products!$A$25="","",SUMIFS('Sales Log'!$F$5:$F$300,'Sales Log'!$B$5:$B$300,Products!$A$25))</f>
        <v/>
      </c>
      <c r="D22" s="5" t="str">
        <f>IF(Products!$A$25="","",SUMIFS('Sales Log'!$G$5:$G$300,'Sales Log'!$B$5:$B$300,Products!$A$25))</f>
        <v/>
      </c>
      <c r="E22" s="5" t="str">
        <f>IF(Products!$A$25="","",SUMIFS('Sales Log'!$H$5:$H$300,'Sales Log'!$B$5:$B$300,Products!$A$25))</f>
        <v/>
      </c>
    </row>
    <row r="23" spans="1:5" x14ac:dyDescent="0.25">
      <c r="A23" s="11" t="str">
        <f>IF(Products!$A$26="","",Products!$A$26)</f>
        <v/>
      </c>
      <c r="B23" s="5" t="str">
        <f>IF(Products!$A$26="","",SUMIFS('Sales Log'!$C$5:$C$300,'Sales Log'!$B$5:$B$300,Products!$A$26))</f>
        <v/>
      </c>
      <c r="C23" s="5" t="str">
        <f>IF(Products!$A$26="","",SUMIFS('Sales Log'!$F$5:$F$300,'Sales Log'!$B$5:$B$300,Products!$A$26))</f>
        <v/>
      </c>
      <c r="D23" s="5" t="str">
        <f>IF(Products!$A$26="","",SUMIFS('Sales Log'!$G$5:$G$300,'Sales Log'!$B$5:$B$300,Products!$A$26))</f>
        <v/>
      </c>
      <c r="E23" s="5" t="str">
        <f>IF(Products!$A$26="","",SUMIFS('Sales Log'!$H$5:$H$300,'Sales Log'!$B$5:$B$300,Products!$A$26))</f>
        <v/>
      </c>
    </row>
    <row r="24" spans="1:5" x14ac:dyDescent="0.25">
      <c r="A24" s="11" t="str">
        <f>IF(Products!$A$27="","",Products!$A$27)</f>
        <v/>
      </c>
      <c r="B24" s="5" t="str">
        <f>IF(Products!$A$27="","",SUMIFS('Sales Log'!$C$5:$C$300,'Sales Log'!$B$5:$B$300,Products!$A$27))</f>
        <v/>
      </c>
      <c r="C24" s="5" t="str">
        <f>IF(Products!$A$27="","",SUMIFS('Sales Log'!$F$5:$F$300,'Sales Log'!$B$5:$B$300,Products!$A$27))</f>
        <v/>
      </c>
      <c r="D24" s="5" t="str">
        <f>IF(Products!$A$27="","",SUMIFS('Sales Log'!$G$5:$G$300,'Sales Log'!$B$5:$B$300,Products!$A$27))</f>
        <v/>
      </c>
      <c r="E24" s="5" t="str">
        <f>IF(Products!$A$27="","",SUMIFS('Sales Log'!$H$5:$H$300,'Sales Log'!$B$5:$B$300,Products!$A$27))</f>
        <v/>
      </c>
    </row>
    <row r="25" spans="1:5" x14ac:dyDescent="0.25">
      <c r="A25" s="11" t="str">
        <f>IF(Products!$A$28="","",Products!$A$28)</f>
        <v/>
      </c>
      <c r="B25" s="5" t="str">
        <f>IF(Products!$A$28="","",SUMIFS('Sales Log'!$C$5:$C$300,'Sales Log'!$B$5:$B$300,Products!$A$28))</f>
        <v/>
      </c>
      <c r="C25" s="5" t="str">
        <f>IF(Products!$A$28="","",SUMIFS('Sales Log'!$F$5:$F$300,'Sales Log'!$B$5:$B$300,Products!$A$28))</f>
        <v/>
      </c>
      <c r="D25" s="5" t="str">
        <f>IF(Products!$A$28="","",SUMIFS('Sales Log'!$G$5:$G$300,'Sales Log'!$B$5:$B$300,Products!$A$28))</f>
        <v/>
      </c>
      <c r="E25" s="5" t="str">
        <f>IF(Products!$A$28="","",SUMIFS('Sales Log'!$H$5:$H$300,'Sales Log'!$B$5:$B$300,Products!$A$28))</f>
        <v/>
      </c>
    </row>
    <row r="26" spans="1:5" x14ac:dyDescent="0.25">
      <c r="A26" s="11" t="str">
        <f>IF(Products!$A$29="","",Products!$A$29)</f>
        <v/>
      </c>
      <c r="B26" s="5" t="str">
        <f>IF(Products!$A$29="","",SUMIFS('Sales Log'!$C$5:$C$300,'Sales Log'!$B$5:$B$300,Products!$A$29))</f>
        <v/>
      </c>
      <c r="C26" s="5" t="str">
        <f>IF(Products!$A$29="","",SUMIFS('Sales Log'!$F$5:$F$300,'Sales Log'!$B$5:$B$300,Products!$A$29))</f>
        <v/>
      </c>
      <c r="D26" s="5" t="str">
        <f>IF(Products!$A$29="","",SUMIFS('Sales Log'!$G$5:$G$300,'Sales Log'!$B$5:$B$300,Products!$A$29))</f>
        <v/>
      </c>
      <c r="E26" s="5" t="str">
        <f>IF(Products!$A$29="","",SUMIFS('Sales Log'!$H$5:$H$300,'Sales Log'!$B$5:$B$300,Products!$A$29))</f>
        <v/>
      </c>
    </row>
    <row r="27" spans="1:5" x14ac:dyDescent="0.25">
      <c r="A27" s="11" t="str">
        <f>IF(Products!$A$30="","",Products!$A$30)</f>
        <v/>
      </c>
      <c r="B27" s="5" t="str">
        <f>IF(Products!$A$30="","",SUMIFS('Sales Log'!$C$5:$C$300,'Sales Log'!$B$5:$B$300,Products!$A$30))</f>
        <v/>
      </c>
      <c r="C27" s="5" t="str">
        <f>IF(Products!$A$30="","",SUMIFS('Sales Log'!$F$5:$F$300,'Sales Log'!$B$5:$B$300,Products!$A$30))</f>
        <v/>
      </c>
      <c r="D27" s="5" t="str">
        <f>IF(Products!$A$30="","",SUMIFS('Sales Log'!$G$5:$G$300,'Sales Log'!$B$5:$B$300,Products!$A$30))</f>
        <v/>
      </c>
      <c r="E27" s="5" t="str">
        <f>IF(Products!$A$30="","",SUMIFS('Sales Log'!$H$5:$H$300,'Sales Log'!$B$5:$B$300,Products!$A$30))</f>
        <v/>
      </c>
    </row>
    <row r="28" spans="1:5" x14ac:dyDescent="0.25">
      <c r="A28" s="11" t="str">
        <f>IF(Products!$A$31="","",Products!$A$31)</f>
        <v/>
      </c>
      <c r="B28" s="5" t="str">
        <f>IF(Products!$A$31="","",SUMIFS('Sales Log'!$C$5:$C$300,'Sales Log'!$B$5:$B$300,Products!$A$31))</f>
        <v/>
      </c>
      <c r="C28" s="5" t="str">
        <f>IF(Products!$A$31="","",SUMIFS('Sales Log'!$F$5:$F$300,'Sales Log'!$B$5:$B$300,Products!$A$31))</f>
        <v/>
      </c>
      <c r="D28" s="5" t="str">
        <f>IF(Products!$A$31="","",SUMIFS('Sales Log'!$G$5:$G$300,'Sales Log'!$B$5:$B$300,Products!$A$31))</f>
        <v/>
      </c>
      <c r="E28" s="5" t="str">
        <f>IF(Products!$A$31="","",SUMIFS('Sales Log'!$H$5:$H$300,'Sales Log'!$B$5:$B$300,Products!$A$31))</f>
        <v/>
      </c>
    </row>
    <row r="29" spans="1:5" x14ac:dyDescent="0.25">
      <c r="A29" s="11" t="str">
        <f>IF(Products!$A$32="","",Products!$A$32)</f>
        <v/>
      </c>
      <c r="B29" s="5" t="str">
        <f>IF(Products!$A$32="","",SUMIFS('Sales Log'!$C$5:$C$300,'Sales Log'!$B$5:$B$300,Products!$A$32))</f>
        <v/>
      </c>
      <c r="C29" s="5" t="str">
        <f>IF(Products!$A$32="","",SUMIFS('Sales Log'!$F$5:$F$300,'Sales Log'!$B$5:$B$300,Products!$A$32))</f>
        <v/>
      </c>
      <c r="D29" s="5" t="str">
        <f>IF(Products!$A$32="","",SUMIFS('Sales Log'!$G$5:$G$300,'Sales Log'!$B$5:$B$300,Products!$A$32))</f>
        <v/>
      </c>
      <c r="E29" s="5" t="str">
        <f>IF(Products!$A$32="","",SUMIFS('Sales Log'!$H$5:$H$300,'Sales Log'!$B$5:$B$300,Products!$A$32))</f>
        <v/>
      </c>
    </row>
    <row r="30" spans="1:5" x14ac:dyDescent="0.25">
      <c r="A30" s="11" t="str">
        <f>IF(Products!$A$33="","",Products!$A$33)</f>
        <v/>
      </c>
      <c r="B30" s="5" t="str">
        <f>IF(Products!$A$33="","",SUMIFS('Sales Log'!$C$5:$C$300,'Sales Log'!$B$5:$B$300,Products!$A$33))</f>
        <v/>
      </c>
      <c r="C30" s="5" t="str">
        <f>IF(Products!$A$33="","",SUMIFS('Sales Log'!$F$5:$F$300,'Sales Log'!$B$5:$B$300,Products!$A$33))</f>
        <v/>
      </c>
      <c r="D30" s="5" t="str">
        <f>IF(Products!$A$33="","",SUMIFS('Sales Log'!$G$5:$G$300,'Sales Log'!$B$5:$B$300,Products!$A$33))</f>
        <v/>
      </c>
      <c r="E30" s="5" t="str">
        <f>IF(Products!$A$33="","",SUMIFS('Sales Log'!$H$5:$H$300,'Sales Log'!$B$5:$B$300,Products!$A$33))</f>
        <v/>
      </c>
    </row>
    <row r="31" spans="1:5" x14ac:dyDescent="0.25">
      <c r="A31" s="11" t="str">
        <f>IF(Products!$A$34="","",Products!$A$34)</f>
        <v/>
      </c>
      <c r="B31" s="5" t="str">
        <f>IF(Products!$A$34="","",SUMIFS('Sales Log'!$C$5:$C$300,'Sales Log'!$B$5:$B$300,Products!$A$34))</f>
        <v/>
      </c>
      <c r="C31" s="5" t="str">
        <f>IF(Products!$A$34="","",SUMIFS('Sales Log'!$F$5:$F$300,'Sales Log'!$B$5:$B$300,Products!$A$34))</f>
        <v/>
      </c>
      <c r="D31" s="5" t="str">
        <f>IF(Products!$A$34="","",SUMIFS('Sales Log'!$G$5:$G$300,'Sales Log'!$B$5:$B$300,Products!$A$34))</f>
        <v/>
      </c>
      <c r="E31" s="5" t="str">
        <f>IF(Products!$A$34="","",SUMIFS('Sales Log'!$H$5:$H$300,'Sales Log'!$B$5:$B$300,Products!$A$34))</f>
        <v/>
      </c>
    </row>
    <row r="32" spans="1:5" x14ac:dyDescent="0.25">
      <c r="A32" s="11" t="str">
        <f>IF(Products!$A$35="","",Products!$A$35)</f>
        <v/>
      </c>
      <c r="B32" s="5" t="str">
        <f>IF(Products!$A$35="","",SUMIFS('Sales Log'!$C$5:$C$300,'Sales Log'!$B$5:$B$300,Products!$A$35))</f>
        <v/>
      </c>
      <c r="C32" s="5" t="str">
        <f>IF(Products!$A$35="","",SUMIFS('Sales Log'!$F$5:$F$300,'Sales Log'!$B$5:$B$300,Products!$A$35))</f>
        <v/>
      </c>
      <c r="D32" s="5" t="str">
        <f>IF(Products!$A$35="","",SUMIFS('Sales Log'!$G$5:$G$300,'Sales Log'!$B$5:$B$300,Products!$A$35))</f>
        <v/>
      </c>
      <c r="E32" s="5" t="str">
        <f>IF(Products!$A$35="","",SUMIFS('Sales Log'!$H$5:$H$300,'Sales Log'!$B$5:$B$300,Products!$A$35))</f>
        <v/>
      </c>
    </row>
    <row r="33" spans="1:5" x14ac:dyDescent="0.25">
      <c r="A33" s="11" t="str">
        <f>IF(Products!$A$36="","",Products!$A$36)</f>
        <v/>
      </c>
      <c r="B33" s="5" t="str">
        <f>IF(Products!$A$36="","",SUMIFS('Sales Log'!$C$5:$C$300,'Sales Log'!$B$5:$B$300,Products!$A$36))</f>
        <v/>
      </c>
      <c r="C33" s="5" t="str">
        <f>IF(Products!$A$36="","",SUMIFS('Sales Log'!$F$5:$F$300,'Sales Log'!$B$5:$B$300,Products!$A$36))</f>
        <v/>
      </c>
      <c r="D33" s="5" t="str">
        <f>IF(Products!$A$36="","",SUMIFS('Sales Log'!$G$5:$G$300,'Sales Log'!$B$5:$B$300,Products!$A$36))</f>
        <v/>
      </c>
      <c r="E33" s="5" t="str">
        <f>IF(Products!$A$36="","",SUMIFS('Sales Log'!$H$5:$H$300,'Sales Log'!$B$5:$B$300,Products!$A$36))</f>
        <v/>
      </c>
    </row>
    <row r="34" spans="1:5" x14ac:dyDescent="0.25">
      <c r="A34" s="11" t="str">
        <f>IF(Products!$A$37="","",Products!$A$37)</f>
        <v/>
      </c>
      <c r="B34" s="5" t="str">
        <f>IF(Products!$A$37="","",SUMIFS('Sales Log'!$C$5:$C$300,'Sales Log'!$B$5:$B$300,Products!$A$37))</f>
        <v/>
      </c>
      <c r="C34" s="5" t="str">
        <f>IF(Products!$A$37="","",SUMIFS('Sales Log'!$F$5:$F$300,'Sales Log'!$B$5:$B$300,Products!$A$37))</f>
        <v/>
      </c>
      <c r="D34" s="5" t="str">
        <f>IF(Products!$A$37="","",SUMIFS('Sales Log'!$G$5:$G$300,'Sales Log'!$B$5:$B$300,Products!$A$37))</f>
        <v/>
      </c>
      <c r="E34" s="5" t="str">
        <f>IF(Products!$A$37="","",SUMIFS('Sales Log'!$H$5:$H$300,'Sales Log'!$B$5:$B$300,Products!$A$37))</f>
        <v/>
      </c>
    </row>
    <row r="35" spans="1:5" x14ac:dyDescent="0.25">
      <c r="A35" s="11" t="str">
        <f>IF(Products!$A$38="","",Products!$A$38)</f>
        <v/>
      </c>
      <c r="B35" s="5" t="str">
        <f>IF(Products!$A$38="","",SUMIFS('Sales Log'!$C$5:$C$300,'Sales Log'!$B$5:$B$300,Products!$A$38))</f>
        <v/>
      </c>
      <c r="C35" s="5" t="str">
        <f>IF(Products!$A$38="","",SUMIFS('Sales Log'!$F$5:$F$300,'Sales Log'!$B$5:$B$300,Products!$A$38))</f>
        <v/>
      </c>
      <c r="D35" s="5" t="str">
        <f>IF(Products!$A$38="","",SUMIFS('Sales Log'!$G$5:$G$300,'Sales Log'!$B$5:$B$300,Products!$A$38))</f>
        <v/>
      </c>
      <c r="E35" s="5" t="str">
        <f>IF(Products!$A$38="","",SUMIFS('Sales Log'!$H$5:$H$300,'Sales Log'!$B$5:$B$300,Products!$A$38))</f>
        <v/>
      </c>
    </row>
    <row r="36" spans="1:5" x14ac:dyDescent="0.25">
      <c r="A36" s="11" t="str">
        <f>IF(Products!$A$39="","",Products!$A$39)</f>
        <v/>
      </c>
      <c r="B36" s="5" t="str">
        <f>IF(Products!$A$39="","",SUMIFS('Sales Log'!$C$5:$C$300,'Sales Log'!$B$5:$B$300,Products!$A$39))</f>
        <v/>
      </c>
      <c r="C36" s="5" t="str">
        <f>IF(Products!$A$39="","",SUMIFS('Sales Log'!$F$5:$F$300,'Sales Log'!$B$5:$B$300,Products!$A$39))</f>
        <v/>
      </c>
      <c r="D36" s="5" t="str">
        <f>IF(Products!$A$39="","",SUMIFS('Sales Log'!$G$5:$G$300,'Sales Log'!$B$5:$B$300,Products!$A$39))</f>
        <v/>
      </c>
      <c r="E36" s="5" t="str">
        <f>IF(Products!$A$39="","",SUMIFS('Sales Log'!$H$5:$H$300,'Sales Log'!$B$5:$B$300,Products!$A$39))</f>
        <v/>
      </c>
    </row>
    <row r="37" spans="1:5" x14ac:dyDescent="0.25">
      <c r="A37" s="11" t="str">
        <f>IF(Products!$A$40="","",Products!$A$40)</f>
        <v/>
      </c>
      <c r="B37" s="5" t="str">
        <f>IF(Products!$A$40="","",SUMIFS('Sales Log'!$C$5:$C$300,'Sales Log'!$B$5:$B$300,Products!$A$40))</f>
        <v/>
      </c>
      <c r="C37" s="5" t="str">
        <f>IF(Products!$A$40="","",SUMIFS('Sales Log'!$F$5:$F$300,'Sales Log'!$B$5:$B$300,Products!$A$40))</f>
        <v/>
      </c>
      <c r="D37" s="5" t="str">
        <f>IF(Products!$A$40="","",SUMIFS('Sales Log'!$G$5:$G$300,'Sales Log'!$B$5:$B$300,Products!$A$40))</f>
        <v/>
      </c>
      <c r="E37" s="5" t="str">
        <f>IF(Products!$A$40="","",SUMIFS('Sales Log'!$H$5:$H$300,'Sales Log'!$B$5:$B$300,Products!$A$40))</f>
        <v/>
      </c>
    </row>
    <row r="38" spans="1:5" x14ac:dyDescent="0.25">
      <c r="A38" s="11" t="str">
        <f>IF(Products!$A$41="","",Products!$A$41)</f>
        <v/>
      </c>
      <c r="B38" s="5" t="str">
        <f>IF(Products!$A$41="","",SUMIFS('Sales Log'!$C$5:$C$300,'Sales Log'!$B$5:$B$300,Products!$A$41))</f>
        <v/>
      </c>
      <c r="C38" s="5" t="str">
        <f>IF(Products!$A$41="","",SUMIFS('Sales Log'!$F$5:$F$300,'Sales Log'!$B$5:$B$300,Products!$A$41))</f>
        <v/>
      </c>
      <c r="D38" s="5" t="str">
        <f>IF(Products!$A$41="","",SUMIFS('Sales Log'!$G$5:$G$300,'Sales Log'!$B$5:$B$300,Products!$A$41))</f>
        <v/>
      </c>
      <c r="E38" s="5" t="str">
        <f>IF(Products!$A$41="","",SUMIFS('Sales Log'!$H$5:$H$300,'Sales Log'!$B$5:$B$300,Products!$A$41))</f>
        <v/>
      </c>
    </row>
    <row r="39" spans="1:5" x14ac:dyDescent="0.25">
      <c r="A39" s="11" t="str">
        <f>IF(Products!$A$42="","",Products!$A$42)</f>
        <v/>
      </c>
      <c r="B39" s="5" t="str">
        <f>IF(Products!$A$42="","",SUMIFS('Sales Log'!$C$5:$C$300,'Sales Log'!$B$5:$B$300,Products!$A$42))</f>
        <v/>
      </c>
      <c r="C39" s="5" t="str">
        <f>IF(Products!$A$42="","",SUMIFS('Sales Log'!$F$5:$F$300,'Sales Log'!$B$5:$B$300,Products!$A$42))</f>
        <v/>
      </c>
      <c r="D39" s="5" t="str">
        <f>IF(Products!$A$42="","",SUMIFS('Sales Log'!$G$5:$G$300,'Sales Log'!$B$5:$B$300,Products!$A$42))</f>
        <v/>
      </c>
      <c r="E39" s="5" t="str">
        <f>IF(Products!$A$42="","",SUMIFS('Sales Log'!$H$5:$H$300,'Sales Log'!$B$5:$B$300,Products!$A$42))</f>
        <v/>
      </c>
    </row>
    <row r="40" spans="1:5" x14ac:dyDescent="0.25">
      <c r="A40" s="11" t="str">
        <f>IF(Products!$A$43="","",Products!$A$43)</f>
        <v/>
      </c>
      <c r="B40" s="5" t="str">
        <f>IF(Products!$A$43="","",SUMIFS('Sales Log'!$C$5:$C$300,'Sales Log'!$B$5:$B$300,Products!$A$43))</f>
        <v/>
      </c>
      <c r="C40" s="5" t="str">
        <f>IF(Products!$A$43="","",SUMIFS('Sales Log'!$F$5:$F$300,'Sales Log'!$B$5:$B$300,Products!$A$43))</f>
        <v/>
      </c>
      <c r="D40" s="5" t="str">
        <f>IF(Products!$A$43="","",SUMIFS('Sales Log'!$G$5:$G$300,'Sales Log'!$B$5:$B$300,Products!$A$43))</f>
        <v/>
      </c>
      <c r="E40" s="5" t="str">
        <f>IF(Products!$A$43="","",SUMIFS('Sales Log'!$H$5:$H$300,'Sales Log'!$B$5:$B$300,Products!$A$43))</f>
        <v/>
      </c>
    </row>
    <row r="41" spans="1:5" x14ac:dyDescent="0.25">
      <c r="A41" s="11" t="str">
        <f>IF(Products!$A$44="","",Products!$A$44)</f>
        <v/>
      </c>
      <c r="B41" s="5" t="str">
        <f>IF(Products!$A$44="","",SUMIFS('Sales Log'!$C$5:$C$300,'Sales Log'!$B$5:$B$300,Products!$A$44))</f>
        <v/>
      </c>
      <c r="C41" s="5" t="str">
        <f>IF(Products!$A$44="","",SUMIFS('Sales Log'!$F$5:$F$300,'Sales Log'!$B$5:$B$300,Products!$A$44))</f>
        <v/>
      </c>
      <c r="D41" s="5" t="str">
        <f>IF(Products!$A$44="","",SUMIFS('Sales Log'!$G$5:$G$300,'Sales Log'!$B$5:$B$300,Products!$A$44))</f>
        <v/>
      </c>
      <c r="E41" s="5" t="str">
        <f>IF(Products!$A$44="","",SUMIFS('Sales Log'!$H$5:$H$300,'Sales Log'!$B$5:$B$300,Products!$A$44))</f>
        <v/>
      </c>
    </row>
    <row r="42" spans="1:5" x14ac:dyDescent="0.25">
      <c r="A42" s="11" t="str">
        <f>IF(Products!$A$45="","",Products!$A$45)</f>
        <v/>
      </c>
      <c r="B42" s="5" t="str">
        <f>IF(Products!$A$45="","",SUMIFS('Sales Log'!$C$5:$C$300,'Sales Log'!$B$5:$B$300,Products!$A$45))</f>
        <v/>
      </c>
      <c r="C42" s="5" t="str">
        <f>IF(Products!$A$45="","",SUMIFS('Sales Log'!$F$5:$F$300,'Sales Log'!$B$5:$B$300,Products!$A$45))</f>
        <v/>
      </c>
      <c r="D42" s="5" t="str">
        <f>IF(Products!$A$45="","",SUMIFS('Sales Log'!$G$5:$G$300,'Sales Log'!$B$5:$B$300,Products!$A$45))</f>
        <v/>
      </c>
      <c r="E42" s="5" t="str">
        <f>IF(Products!$A$45="","",SUMIFS('Sales Log'!$H$5:$H$300,'Sales Log'!$B$5:$B$300,Products!$A$45))</f>
        <v/>
      </c>
    </row>
    <row r="43" spans="1:5" x14ac:dyDescent="0.25">
      <c r="A43" s="11" t="str">
        <f>IF(Products!$A$46="","",Products!$A$46)</f>
        <v/>
      </c>
      <c r="B43" s="5" t="str">
        <f>IF(Products!$A$46="","",SUMIFS('Sales Log'!$C$5:$C$300,'Sales Log'!$B$5:$B$300,Products!$A$46))</f>
        <v/>
      </c>
      <c r="C43" s="5" t="str">
        <f>IF(Products!$A$46="","",SUMIFS('Sales Log'!$F$5:$F$300,'Sales Log'!$B$5:$B$300,Products!$A$46))</f>
        <v/>
      </c>
      <c r="D43" s="5" t="str">
        <f>IF(Products!$A$46="","",SUMIFS('Sales Log'!$G$5:$G$300,'Sales Log'!$B$5:$B$300,Products!$A$46))</f>
        <v/>
      </c>
      <c r="E43" s="5" t="str">
        <f>IF(Products!$A$46="","",SUMIFS('Sales Log'!$H$5:$H$300,'Sales Log'!$B$5:$B$300,Products!$A$46))</f>
        <v/>
      </c>
    </row>
    <row r="44" spans="1:5" x14ac:dyDescent="0.25">
      <c r="A44" s="11" t="str">
        <f>IF(Products!$A$47="","",Products!$A$47)</f>
        <v/>
      </c>
      <c r="B44" s="5" t="str">
        <f>IF(Products!$A$47="","",SUMIFS('Sales Log'!$C$5:$C$300,'Sales Log'!$B$5:$B$300,Products!$A$47))</f>
        <v/>
      </c>
      <c r="C44" s="5" t="str">
        <f>IF(Products!$A$47="","",SUMIFS('Sales Log'!$F$5:$F$300,'Sales Log'!$B$5:$B$300,Products!$A$47))</f>
        <v/>
      </c>
      <c r="D44" s="5" t="str">
        <f>IF(Products!$A$47="","",SUMIFS('Sales Log'!$G$5:$G$300,'Sales Log'!$B$5:$B$300,Products!$A$47))</f>
        <v/>
      </c>
      <c r="E44" s="5" t="str">
        <f>IF(Products!$A$47="","",SUMIFS('Sales Log'!$H$5:$H$300,'Sales Log'!$B$5:$B$300,Products!$A$47))</f>
        <v/>
      </c>
    </row>
    <row r="45" spans="1:5" x14ac:dyDescent="0.25">
      <c r="A45" s="11" t="str">
        <f>IF(Products!$A$48="","",Products!$A$48)</f>
        <v/>
      </c>
      <c r="B45" s="5" t="str">
        <f>IF(Products!$A$48="","",SUMIFS('Sales Log'!$C$5:$C$300,'Sales Log'!$B$5:$B$300,Products!$A$48))</f>
        <v/>
      </c>
      <c r="C45" s="5" t="str">
        <f>IF(Products!$A$48="","",SUMIFS('Sales Log'!$F$5:$F$300,'Sales Log'!$B$5:$B$300,Products!$A$48))</f>
        <v/>
      </c>
      <c r="D45" s="5" t="str">
        <f>IF(Products!$A$48="","",SUMIFS('Sales Log'!$G$5:$G$300,'Sales Log'!$B$5:$B$300,Products!$A$48))</f>
        <v/>
      </c>
      <c r="E45" s="5" t="str">
        <f>IF(Products!$A$48="","",SUMIFS('Sales Log'!$H$5:$H$300,'Sales Log'!$B$5:$B$300,Products!$A$48))</f>
        <v/>
      </c>
    </row>
    <row r="46" spans="1:5" x14ac:dyDescent="0.25">
      <c r="A46" s="11" t="str">
        <f>IF(Products!$A$49="","",Products!$A$49)</f>
        <v/>
      </c>
      <c r="B46" s="5" t="str">
        <f>IF(Products!$A$49="","",SUMIFS('Sales Log'!$C$5:$C$300,'Sales Log'!$B$5:$B$300,Products!$A$49))</f>
        <v/>
      </c>
      <c r="C46" s="5" t="str">
        <f>IF(Products!$A$49="","",SUMIFS('Sales Log'!$F$5:$F$300,'Sales Log'!$B$5:$B$300,Products!$A$49))</f>
        <v/>
      </c>
      <c r="D46" s="5" t="str">
        <f>IF(Products!$A$49="","",SUMIFS('Sales Log'!$G$5:$G$300,'Sales Log'!$B$5:$B$300,Products!$A$49))</f>
        <v/>
      </c>
      <c r="E46" s="5" t="str">
        <f>IF(Products!$A$49="","",SUMIFS('Sales Log'!$H$5:$H$300,'Sales Log'!$B$5:$B$300,Products!$A$49))</f>
        <v/>
      </c>
    </row>
    <row r="47" spans="1:5" x14ac:dyDescent="0.25">
      <c r="A47" s="11" t="str">
        <f>IF(Products!$A$50="","",Products!$A$50)</f>
        <v/>
      </c>
      <c r="B47" s="5" t="str">
        <f>IF(Products!$A$50="","",SUMIFS('Sales Log'!$C$5:$C$300,'Sales Log'!$B$5:$B$300,Products!$A$50))</f>
        <v/>
      </c>
      <c r="C47" s="5" t="str">
        <f>IF(Products!$A$50="","",SUMIFS('Sales Log'!$F$5:$F$300,'Sales Log'!$B$5:$B$300,Products!$A$50))</f>
        <v/>
      </c>
      <c r="D47" s="5" t="str">
        <f>IF(Products!$A$50="","",SUMIFS('Sales Log'!$G$5:$G$300,'Sales Log'!$B$5:$B$300,Products!$A$50))</f>
        <v/>
      </c>
      <c r="E47" s="5" t="str">
        <f>IF(Products!$A$50="","",SUMIFS('Sales Log'!$H$5:$H$300,'Sales Log'!$B$5:$B$300,Products!$A$50))</f>
        <v/>
      </c>
    </row>
    <row r="48" spans="1:5" x14ac:dyDescent="0.25">
      <c r="A48" s="11" t="str">
        <f>IF(Products!$A$51="","",Products!$A$51)</f>
        <v/>
      </c>
      <c r="B48" s="5" t="str">
        <f>IF(Products!$A$51="","",SUMIFS('Sales Log'!$C$5:$C$300,'Sales Log'!$B$5:$B$300,Products!$A$51))</f>
        <v/>
      </c>
      <c r="C48" s="5" t="str">
        <f>IF(Products!$A$51="","",SUMIFS('Sales Log'!$F$5:$F$300,'Sales Log'!$B$5:$B$300,Products!$A$51))</f>
        <v/>
      </c>
      <c r="D48" s="5" t="str">
        <f>IF(Products!$A$51="","",SUMIFS('Sales Log'!$G$5:$G$300,'Sales Log'!$B$5:$B$300,Products!$A$51))</f>
        <v/>
      </c>
      <c r="E48" s="5" t="str">
        <f>IF(Products!$A$51="","",SUMIFS('Sales Log'!$H$5:$H$300,'Sales Log'!$B$5:$B$300,Products!$A$51))</f>
        <v/>
      </c>
    </row>
  </sheetData>
  <mergeCells count="1"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Sales Log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Cynthia Liz Nalubega</cp:lastModifiedBy>
  <cp:revision>0</cp:revision>
  <dcterms:created xsi:type="dcterms:W3CDTF">2026-07-22T05:42:37Z</dcterms:created>
  <dcterms:modified xsi:type="dcterms:W3CDTF">2026-07-23T13:29:43Z</dcterms:modified>
  <dc:language>en-US</dc:language>
</cp:coreProperties>
</file>